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eivo\Downloads\"/>
    </mc:Choice>
  </mc:AlternateContent>
  <xr:revisionPtr revIDLastSave="0" documentId="13_ncr:1_{A882CF0E-944D-4868-B06E-A927B8AD705E}" xr6:coauthVersionLast="47" xr6:coauthVersionMax="47" xr10:uidLastSave="{00000000-0000-0000-0000-000000000000}"/>
  <bookViews>
    <workbookView xWindow="-108" yWindow="-108" windowWidth="23256" windowHeight="12456" activeTab="1" xr2:uid="{00000000-000D-0000-FFFF-FFFF00000000}"/>
  </bookViews>
  <sheets>
    <sheet name="Maillijst" sheetId="1" r:id="rId1"/>
    <sheet name="Rubric" sheetId="37"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6" i="37" l="1"/>
  <c r="O6" i="37"/>
  <c r="N6" i="37"/>
  <c r="M6" i="37"/>
  <c r="L6" i="37"/>
  <c r="L7" i="37" l="1"/>
  <c r="I9" i="37" s="1"/>
  <c r="M7" i="37"/>
  <c r="N7" i="37"/>
  <c r="O7" i="37"/>
  <c r="P7" i="37"/>
  <c r="I13" i="37" l="1"/>
  <c r="I12" i="37"/>
  <c r="I11" i="37"/>
  <c r="I10" i="37"/>
  <c r="E14" i="37"/>
  <c r="E15" i="37"/>
  <c r="B2" i="37" l="1"/>
  <c r="B5" i="37"/>
  <c r="A5" i="37" s="1"/>
  <c r="I5" i="37"/>
  <c r="I97" i="37" l="1"/>
  <c r="H97" i="37"/>
  <c r="G97" i="37"/>
  <c r="F97" i="37"/>
  <c r="E97" i="37"/>
  <c r="D97" i="37"/>
  <c r="B97" i="37"/>
  <c r="I96" i="37"/>
  <c r="H96" i="37"/>
  <c r="G96" i="37"/>
  <c r="F96" i="37"/>
  <c r="E96" i="37"/>
  <c r="D96" i="37"/>
  <c r="B96" i="37"/>
  <c r="I95" i="37"/>
  <c r="H95" i="37"/>
  <c r="G95" i="37"/>
  <c r="F95" i="37"/>
  <c r="E95" i="37"/>
  <c r="D95" i="37"/>
  <c r="B95" i="37"/>
  <c r="I94" i="37"/>
  <c r="H94" i="37"/>
  <c r="G94" i="37"/>
  <c r="F94" i="37"/>
  <c r="E94" i="37"/>
  <c r="D94" i="37"/>
  <c r="B94" i="37"/>
  <c r="I93" i="37"/>
  <c r="H93" i="37"/>
  <c r="G93" i="37"/>
  <c r="F93" i="37"/>
  <c r="E93" i="37"/>
  <c r="D93" i="37"/>
  <c r="B93" i="37"/>
  <c r="I92" i="37"/>
  <c r="H92" i="37"/>
  <c r="G92" i="37"/>
  <c r="F92" i="37"/>
  <c r="E92" i="37"/>
  <c r="D92" i="37"/>
  <c r="B92" i="37"/>
  <c r="A92" i="37"/>
  <c r="I91" i="37"/>
  <c r="H91" i="37"/>
  <c r="G91" i="37"/>
  <c r="F91" i="37"/>
  <c r="E91" i="37"/>
  <c r="D91" i="37"/>
  <c r="B91" i="37"/>
  <c r="A91" i="37"/>
  <c r="I90" i="37"/>
  <c r="H90" i="37"/>
  <c r="G90" i="37"/>
  <c r="F90" i="37"/>
  <c r="E90" i="37"/>
  <c r="D90" i="37"/>
  <c r="B90" i="37"/>
  <c r="A90" i="37"/>
  <c r="I89" i="37"/>
  <c r="H89" i="37"/>
  <c r="G89" i="37"/>
  <c r="F89" i="37"/>
  <c r="E89" i="37"/>
  <c r="D89" i="37"/>
  <c r="B89" i="37"/>
  <c r="A89" i="37"/>
  <c r="I88" i="37"/>
  <c r="H88" i="37"/>
  <c r="G88" i="37"/>
  <c r="F88" i="37"/>
  <c r="E88" i="37"/>
  <c r="D88" i="37"/>
  <c r="B88" i="37"/>
  <c r="A88" i="37"/>
  <c r="I87" i="37"/>
  <c r="H87" i="37"/>
  <c r="G87" i="37"/>
  <c r="F87" i="37"/>
  <c r="E87" i="37"/>
  <c r="D87" i="37"/>
  <c r="B87" i="37"/>
  <c r="A87" i="37"/>
  <c r="I86" i="37"/>
  <c r="H86" i="37"/>
  <c r="G86" i="37"/>
  <c r="F86" i="37"/>
  <c r="E86" i="37"/>
  <c r="D86" i="37"/>
  <c r="B86" i="37"/>
  <c r="A86" i="37"/>
  <c r="I85" i="37"/>
  <c r="H85" i="37"/>
  <c r="G85" i="37"/>
  <c r="F85" i="37"/>
  <c r="E85" i="37"/>
  <c r="D85" i="37"/>
  <c r="B85" i="37"/>
  <c r="A85" i="37"/>
  <c r="I84" i="37"/>
  <c r="H84" i="37"/>
  <c r="G84" i="37"/>
  <c r="F84" i="37"/>
  <c r="E84" i="37"/>
  <c r="D84" i="37"/>
  <c r="B84" i="37"/>
  <c r="A84" i="37"/>
  <c r="I83" i="37"/>
  <c r="H83" i="37"/>
  <c r="G83" i="37"/>
  <c r="F83" i="37"/>
  <c r="E83" i="37"/>
  <c r="D83" i="37"/>
  <c r="B83" i="37"/>
  <c r="A83" i="37"/>
  <c r="I82" i="37"/>
  <c r="H82" i="37"/>
  <c r="G82" i="37"/>
  <c r="F82" i="37"/>
  <c r="E82" i="37"/>
  <c r="D82" i="37"/>
  <c r="B82" i="37"/>
  <c r="A82" i="37"/>
  <c r="I81" i="37"/>
  <c r="H81" i="37"/>
  <c r="G81" i="37"/>
  <c r="F81" i="37"/>
  <c r="E81" i="37"/>
  <c r="D81" i="37"/>
  <c r="B81" i="37"/>
  <c r="A81" i="37"/>
  <c r="I80" i="37"/>
  <c r="H80" i="37"/>
  <c r="G80" i="37"/>
  <c r="F80" i="37"/>
  <c r="E80" i="37"/>
  <c r="D80" i="37"/>
  <c r="B80" i="37"/>
  <c r="A80" i="37"/>
  <c r="I79" i="37"/>
  <c r="H79" i="37"/>
  <c r="G79" i="37"/>
  <c r="F79" i="37"/>
  <c r="E79" i="37"/>
  <c r="D79" i="37"/>
  <c r="B79" i="37"/>
  <c r="A79" i="37"/>
  <c r="I78" i="37"/>
  <c r="H78" i="37"/>
  <c r="G78" i="37"/>
  <c r="F78" i="37"/>
  <c r="E78" i="37"/>
  <c r="D78" i="37"/>
  <c r="B78" i="37"/>
  <c r="A78" i="37"/>
  <c r="I77" i="37"/>
  <c r="H77" i="37"/>
  <c r="G77" i="37"/>
  <c r="F77" i="37"/>
  <c r="E77" i="37"/>
  <c r="D77" i="37"/>
  <c r="B77" i="37"/>
  <c r="A77" i="37"/>
  <c r="I76" i="37"/>
  <c r="H76" i="37"/>
  <c r="G76" i="37"/>
  <c r="F76" i="37"/>
  <c r="E76" i="37"/>
  <c r="D76" i="37"/>
  <c r="B76" i="37"/>
  <c r="A76" i="37"/>
  <c r="I75" i="37"/>
  <c r="H75" i="37"/>
  <c r="G75" i="37"/>
  <c r="F75" i="37"/>
  <c r="E75" i="37"/>
  <c r="D75" i="37"/>
  <c r="B75" i="37"/>
  <c r="A75" i="37"/>
  <c r="I74" i="37"/>
  <c r="H74" i="37"/>
  <c r="G74" i="37"/>
  <c r="F74" i="37"/>
  <c r="E74" i="37"/>
  <c r="D74" i="37"/>
  <c r="B74" i="37"/>
  <c r="A74" i="37"/>
  <c r="I73" i="37"/>
  <c r="H73" i="37"/>
  <c r="G73" i="37"/>
  <c r="F73" i="37"/>
  <c r="E73" i="37"/>
  <c r="D73" i="37"/>
  <c r="B73" i="37"/>
  <c r="A73" i="37"/>
  <c r="I72" i="37"/>
  <c r="H72" i="37"/>
  <c r="G72" i="37"/>
  <c r="F72" i="37"/>
  <c r="E72" i="37"/>
  <c r="D72" i="37"/>
  <c r="B72" i="37"/>
  <c r="A72" i="37"/>
  <c r="I71" i="37"/>
  <c r="H71" i="37"/>
  <c r="G71" i="37"/>
  <c r="F71" i="37"/>
  <c r="E71" i="37"/>
  <c r="D71" i="37"/>
  <c r="B71" i="37"/>
  <c r="A71" i="37"/>
  <c r="I70" i="37"/>
  <c r="H70" i="37"/>
  <c r="G70" i="37"/>
  <c r="F70" i="37"/>
  <c r="E70" i="37"/>
  <c r="D70" i="37"/>
  <c r="B70" i="37"/>
  <c r="A70" i="37"/>
  <c r="I69" i="37"/>
  <c r="H69" i="37"/>
  <c r="G69" i="37"/>
  <c r="F69" i="37"/>
  <c r="E69" i="37"/>
  <c r="D69" i="37"/>
  <c r="B69" i="37"/>
  <c r="A69" i="37"/>
  <c r="I68" i="37"/>
  <c r="H68" i="37"/>
  <c r="G68" i="37"/>
  <c r="F68" i="37"/>
  <c r="E68" i="37"/>
  <c r="D68" i="37"/>
  <c r="B68" i="37"/>
  <c r="A68" i="37"/>
  <c r="I67" i="37"/>
  <c r="H67" i="37"/>
  <c r="G67" i="37"/>
  <c r="F67" i="37"/>
  <c r="E67" i="37"/>
  <c r="D67" i="37"/>
  <c r="B67" i="37"/>
  <c r="A67" i="37"/>
  <c r="I66" i="37"/>
  <c r="H66" i="37"/>
  <c r="G66" i="37"/>
  <c r="F66" i="37"/>
  <c r="E66" i="37"/>
  <c r="D66" i="37"/>
  <c r="B66" i="37"/>
  <c r="A66" i="37"/>
  <c r="I65" i="37"/>
  <c r="H65" i="37"/>
  <c r="G65" i="37"/>
  <c r="F65" i="37"/>
  <c r="E65" i="37"/>
  <c r="D65" i="37"/>
  <c r="B65" i="37"/>
  <c r="A65" i="37"/>
  <c r="I64" i="37"/>
  <c r="H64" i="37"/>
  <c r="G64" i="37"/>
  <c r="F64" i="37"/>
  <c r="E64" i="37"/>
  <c r="D64" i="37"/>
  <c r="B64" i="37"/>
  <c r="A64" i="37"/>
  <c r="I63" i="37"/>
  <c r="H63" i="37"/>
  <c r="G63" i="37"/>
  <c r="F63" i="37"/>
  <c r="E63" i="37"/>
  <c r="D63" i="37"/>
  <c r="B63" i="37"/>
  <c r="A63" i="37"/>
  <c r="I62" i="37"/>
  <c r="H62" i="37"/>
  <c r="G62" i="37"/>
  <c r="F62" i="37"/>
  <c r="E62" i="37"/>
  <c r="D62" i="37"/>
  <c r="B62" i="37"/>
  <c r="A62" i="37"/>
  <c r="I61" i="37"/>
  <c r="H61" i="37"/>
  <c r="G61" i="37"/>
  <c r="F61" i="37"/>
  <c r="E61" i="37"/>
  <c r="D61" i="37"/>
  <c r="B61" i="37"/>
  <c r="A61" i="37"/>
  <c r="I60" i="37"/>
  <c r="H60" i="37"/>
  <c r="G60" i="37"/>
  <c r="F60" i="37"/>
  <c r="E60" i="37"/>
  <c r="D60" i="37"/>
  <c r="B60" i="37"/>
  <c r="A60" i="37"/>
  <c r="I59" i="37"/>
  <c r="H59" i="37"/>
  <c r="G59" i="37"/>
  <c r="F59" i="37"/>
  <c r="E59" i="37"/>
  <c r="D59" i="37"/>
  <c r="B59" i="37"/>
  <c r="A59" i="37"/>
  <c r="I58" i="37"/>
  <c r="H58" i="37"/>
  <c r="G58" i="37"/>
  <c r="F58" i="37"/>
  <c r="E58" i="37"/>
  <c r="D58" i="37"/>
  <c r="B58" i="37"/>
  <c r="A58" i="37"/>
  <c r="I57" i="37"/>
  <c r="H57" i="37"/>
  <c r="G57" i="37"/>
  <c r="F57" i="37"/>
  <c r="E57" i="37"/>
  <c r="D57" i="37"/>
  <c r="B57" i="37"/>
  <c r="A57" i="37"/>
  <c r="I56" i="37"/>
  <c r="H56" i="37"/>
  <c r="G56" i="37"/>
  <c r="F56" i="37"/>
  <c r="E56" i="37"/>
  <c r="D56" i="37"/>
  <c r="B56" i="37"/>
  <c r="A56" i="37"/>
  <c r="I55" i="37"/>
  <c r="H55" i="37"/>
  <c r="G55" i="37"/>
  <c r="F55" i="37"/>
  <c r="E55" i="37"/>
  <c r="D55" i="37"/>
  <c r="B55" i="37"/>
  <c r="A55" i="37"/>
  <c r="I54" i="37"/>
  <c r="H54" i="37"/>
  <c r="G54" i="37"/>
  <c r="F54" i="37"/>
  <c r="E54" i="37"/>
  <c r="D54" i="37"/>
  <c r="B54" i="37"/>
  <c r="A54" i="37"/>
  <c r="I53" i="37"/>
  <c r="H53" i="37"/>
  <c r="G53" i="37"/>
  <c r="F53" i="37"/>
  <c r="E53" i="37"/>
  <c r="D53" i="37"/>
  <c r="B53" i="37"/>
  <c r="A53" i="37"/>
  <c r="I52" i="37"/>
  <c r="H52" i="37"/>
  <c r="G52" i="37"/>
  <c r="F52" i="37"/>
  <c r="E52" i="37"/>
  <c r="D52" i="37"/>
  <c r="B52" i="37"/>
  <c r="A52" i="37"/>
  <c r="I51" i="37"/>
  <c r="H51" i="37"/>
  <c r="G51" i="37"/>
  <c r="F51" i="37"/>
  <c r="E51" i="37"/>
  <c r="D51" i="37"/>
  <c r="B51" i="37"/>
  <c r="A51" i="37"/>
  <c r="I50" i="37"/>
  <c r="H50" i="37"/>
  <c r="G50" i="37"/>
  <c r="F50" i="37"/>
  <c r="E50" i="37"/>
  <c r="D50" i="37"/>
  <c r="B50" i="37"/>
  <c r="A50" i="37"/>
  <c r="I49" i="37"/>
  <c r="H49" i="37"/>
  <c r="G49" i="37"/>
  <c r="F49" i="37"/>
  <c r="E49" i="37"/>
  <c r="D49" i="37"/>
  <c r="B49" i="37"/>
  <c r="A49" i="37"/>
  <c r="I48" i="37"/>
  <c r="H48" i="37"/>
  <c r="G48" i="37"/>
  <c r="F48" i="37"/>
  <c r="E48" i="37"/>
  <c r="D48" i="37"/>
  <c r="B48" i="37"/>
  <c r="A48" i="37"/>
  <c r="I47" i="37"/>
  <c r="H47" i="37"/>
  <c r="G47" i="37"/>
  <c r="F47" i="37"/>
  <c r="E47" i="37"/>
  <c r="D47" i="37"/>
  <c r="B47" i="37"/>
  <c r="A47" i="37"/>
  <c r="I46" i="37"/>
  <c r="H46" i="37"/>
  <c r="G46" i="37"/>
  <c r="F46" i="37"/>
  <c r="E46" i="37"/>
  <c r="D46" i="37"/>
  <c r="B46" i="37"/>
  <c r="A46" i="37"/>
  <c r="I45" i="37"/>
  <c r="H45" i="37"/>
  <c r="G45" i="37"/>
  <c r="F45" i="37"/>
  <c r="E45" i="37"/>
  <c r="D45" i="37"/>
  <c r="B45" i="37"/>
  <c r="A45" i="37"/>
  <c r="I44" i="37"/>
  <c r="H44" i="37"/>
  <c r="G44" i="37"/>
  <c r="F44" i="37"/>
  <c r="E44" i="37"/>
  <c r="D44" i="37"/>
  <c r="B44" i="37"/>
  <c r="A44" i="37"/>
  <c r="I43" i="37"/>
  <c r="H43" i="37"/>
  <c r="G43" i="37"/>
  <c r="F43" i="37"/>
  <c r="E43" i="37"/>
  <c r="D43" i="37"/>
  <c r="B43" i="37"/>
  <c r="A43" i="37"/>
  <c r="I42" i="37"/>
  <c r="H42" i="37"/>
  <c r="G42" i="37"/>
  <c r="F42" i="37"/>
  <c r="E42" i="37"/>
  <c r="D42" i="37"/>
  <c r="B42" i="37"/>
  <c r="A42" i="37"/>
  <c r="I41" i="37"/>
  <c r="H41" i="37"/>
  <c r="G41" i="37"/>
  <c r="F41" i="37"/>
  <c r="E41" i="37"/>
  <c r="D41" i="37"/>
  <c r="B41" i="37"/>
  <c r="A41" i="37"/>
  <c r="I40" i="37"/>
  <c r="H40" i="37"/>
  <c r="G40" i="37"/>
  <c r="F40" i="37"/>
  <c r="E40" i="37"/>
  <c r="D40" i="37"/>
  <c r="B40" i="37"/>
  <c r="A40" i="37"/>
  <c r="I39" i="37"/>
  <c r="H39" i="37"/>
  <c r="G39" i="37"/>
  <c r="F39" i="37"/>
  <c r="E39" i="37"/>
  <c r="D39" i="37"/>
  <c r="B39" i="37"/>
  <c r="A39" i="37"/>
  <c r="I38" i="37"/>
  <c r="H38" i="37"/>
  <c r="G38" i="37"/>
  <c r="F38" i="37"/>
  <c r="E38" i="37"/>
  <c r="D38" i="37"/>
  <c r="B38" i="37"/>
  <c r="A38" i="37"/>
  <c r="I37" i="37"/>
  <c r="H37" i="37"/>
  <c r="G37" i="37"/>
  <c r="F37" i="37"/>
  <c r="E37" i="37"/>
  <c r="D37" i="37"/>
  <c r="B37" i="37"/>
  <c r="A37" i="37"/>
  <c r="I36" i="37"/>
  <c r="H36" i="37"/>
  <c r="G36" i="37"/>
  <c r="F36" i="37"/>
  <c r="E36" i="37"/>
  <c r="D36" i="37"/>
  <c r="B36" i="37"/>
  <c r="A36" i="37"/>
  <c r="I35" i="37"/>
  <c r="H35" i="37"/>
  <c r="G35" i="37"/>
  <c r="F35" i="37"/>
  <c r="E35" i="37"/>
  <c r="D35" i="37"/>
  <c r="B35" i="37"/>
  <c r="A35" i="37"/>
  <c r="I34" i="37"/>
  <c r="H34" i="37"/>
  <c r="G34" i="37"/>
  <c r="F34" i="37"/>
  <c r="E34" i="37"/>
  <c r="D34" i="37"/>
  <c r="B34" i="37"/>
  <c r="A34" i="37"/>
  <c r="I33" i="37"/>
  <c r="H33" i="37"/>
  <c r="G33" i="37"/>
  <c r="F33" i="37"/>
  <c r="E33" i="37"/>
  <c r="D33" i="37"/>
  <c r="B33" i="37"/>
  <c r="A33" i="37"/>
  <c r="I32" i="37"/>
  <c r="H32" i="37"/>
  <c r="G32" i="37"/>
  <c r="F32" i="37"/>
  <c r="E32" i="37"/>
  <c r="D32" i="37"/>
  <c r="B32" i="37"/>
  <c r="A32" i="37"/>
  <c r="I31" i="37"/>
  <c r="H31" i="37"/>
  <c r="G31" i="37"/>
  <c r="F31" i="37"/>
  <c r="E31" i="37"/>
  <c r="D31" i="37"/>
  <c r="B31" i="37"/>
  <c r="A31" i="37"/>
  <c r="I30" i="37"/>
  <c r="H30" i="37"/>
  <c r="G30" i="37"/>
  <c r="F30" i="37"/>
  <c r="E30" i="37"/>
  <c r="D30" i="37"/>
  <c r="B30" i="37"/>
  <c r="A30" i="37"/>
  <c r="I29" i="37"/>
  <c r="H29" i="37"/>
  <c r="G29" i="37"/>
  <c r="F29" i="37"/>
  <c r="E29" i="37"/>
  <c r="D29" i="37"/>
  <c r="B29" i="37"/>
  <c r="A29" i="37"/>
  <c r="I28" i="37"/>
  <c r="H28" i="37"/>
  <c r="G28" i="37"/>
  <c r="F28" i="37"/>
  <c r="E28" i="37"/>
  <c r="D28" i="37"/>
  <c r="B28" i="37"/>
  <c r="A28" i="37"/>
  <c r="I27" i="37"/>
  <c r="H27" i="37"/>
  <c r="G27" i="37"/>
  <c r="F27" i="37"/>
  <c r="E27" i="37"/>
  <c r="D27" i="37"/>
  <c r="B27" i="37"/>
  <c r="A27" i="37"/>
  <c r="I26" i="37"/>
  <c r="H26" i="37"/>
  <c r="G26" i="37"/>
  <c r="F26" i="37"/>
  <c r="E26" i="37"/>
  <c r="D26" i="37"/>
  <c r="B26" i="37"/>
  <c r="A26" i="37"/>
  <c r="I25" i="37"/>
  <c r="H25" i="37"/>
  <c r="G25" i="37"/>
  <c r="F25" i="37"/>
  <c r="E25" i="37"/>
  <c r="D25" i="37"/>
  <c r="B25" i="37"/>
  <c r="A25" i="37"/>
  <c r="I24" i="37"/>
  <c r="H24" i="37"/>
  <c r="G24" i="37"/>
  <c r="F24" i="37"/>
  <c r="E24" i="37"/>
  <c r="D24" i="37"/>
  <c r="B24" i="37"/>
  <c r="A24" i="37"/>
  <c r="I23" i="37"/>
  <c r="H23" i="37"/>
  <c r="G23" i="37"/>
  <c r="F23" i="37"/>
  <c r="E23" i="37"/>
  <c r="D23" i="37"/>
  <c r="B23" i="37"/>
  <c r="A23" i="37"/>
  <c r="I22" i="37"/>
  <c r="H22" i="37"/>
  <c r="G22" i="37"/>
  <c r="F22" i="37"/>
  <c r="E22" i="37"/>
  <c r="D22" i="37"/>
  <c r="B22" i="37"/>
  <c r="A22" i="37"/>
  <c r="I21" i="37"/>
  <c r="H21" i="37"/>
  <c r="G21" i="37"/>
  <c r="F21" i="37"/>
  <c r="E21" i="37"/>
  <c r="D21" i="37"/>
  <c r="B21" i="37"/>
  <c r="A21" i="37"/>
  <c r="I20" i="37"/>
  <c r="H20" i="37"/>
  <c r="G20" i="37"/>
  <c r="F20" i="37"/>
  <c r="E20" i="37"/>
  <c r="D20" i="37"/>
  <c r="B20" i="37"/>
  <c r="A20" i="37"/>
  <c r="I19" i="37"/>
  <c r="H19" i="37"/>
  <c r="G19" i="37"/>
  <c r="F19" i="37"/>
  <c r="E19" i="37"/>
  <c r="D19" i="37"/>
  <c r="B19" i="37"/>
  <c r="A19" i="37"/>
  <c r="I18" i="37"/>
  <c r="H18" i="37"/>
  <c r="G18" i="37"/>
  <c r="F18" i="37"/>
  <c r="E18" i="37"/>
  <c r="D18" i="37"/>
  <c r="B18" i="37"/>
  <c r="A18" i="37"/>
  <c r="I17" i="37"/>
  <c r="H17" i="37"/>
  <c r="G17" i="37"/>
  <c r="F17" i="37"/>
  <c r="E17" i="37"/>
  <c r="D17" i="37"/>
  <c r="B17" i="37"/>
  <c r="A17" i="37"/>
  <c r="I16" i="37"/>
  <c r="H16" i="37"/>
  <c r="G16" i="37"/>
  <c r="F16" i="37"/>
  <c r="E16" i="37"/>
  <c r="B16" i="37"/>
  <c r="A16" i="37"/>
  <c r="I15" i="37"/>
  <c r="H15" i="37"/>
  <c r="G15" i="37"/>
  <c r="F15" i="37"/>
  <c r="B15" i="37"/>
  <c r="A15" i="37"/>
  <c r="I14" i="37"/>
  <c r="H14" i="37"/>
  <c r="G14" i="37"/>
  <c r="F14" i="37"/>
  <c r="A14" i="37"/>
</calcChain>
</file>

<file path=xl/sharedStrings.xml><?xml version="1.0" encoding="utf-8"?>
<sst xmlns="http://schemas.openxmlformats.org/spreadsheetml/2006/main" count="39" uniqueCount="39">
  <si>
    <t>Score</t>
  </si>
  <si>
    <t/>
  </si>
  <si>
    <t>Student Score</t>
  </si>
  <si>
    <t>Criteria Weight</t>
  </si>
  <si>
    <t>Rubric Criteria</t>
  </si>
  <si>
    <t>Kwaliteit rapportage</t>
  </si>
  <si>
    <t>Hieronder de maillijst studenten (vanaf A2)</t>
  </si>
  <si>
    <t>Opmerkingen</t>
  </si>
  <si>
    <t xml:space="preserve">Naam </t>
  </si>
  <si>
    <t xml:space="preserve">Rapport voldoet niet aan de AIM-controlekaart-norm en bevat veel schrijffouten (&gt;3 per pagina). Niet alle gevraagde onderdelen zijn toegevoegd. </t>
  </si>
  <si>
    <t xml:space="preserve">Rapport voldoet aan de AIM-controlekaart-norm en bevat enkele schrijffouten (max 3 per pagina). Alle gevraagde onderdelen zijn toegevoegd. </t>
  </si>
  <si>
    <t>Rapport voldoet aan de AIM-controlekaart-norm en bevat een enkele schrijffout. Alle gevraagde onderdelen zijn toegevoegd. Motivatie voor gemaakte keuzes zijn toegelicht. Daarnaast leest het rapport prettig door de goed gekozen zinsopbouw. Bevat max 1 schrijffout per pagina.</t>
  </si>
  <si>
    <t>Rapport voldoet aan de AIM-controlekaart-norm en bevat geen enkele schrijffout. Alle gevraagde onderdelen zijn toegevoegd. Motivatie voor gemaakte keuzes zijn toegelicht. Daarnaast leest het rapport prettig door de goed gekozen zinsopbouw. Bevat geen schrijffouten.</t>
  </si>
  <si>
    <t>Fysiek model</t>
  </si>
  <si>
    <t>DDL Script</t>
  </si>
  <si>
    <t>Beroepsproduct voor BIS-DO</t>
  </si>
  <si>
    <t>Rapport is niet leesbaar en zit slecht in elkaar. Toepassing AIM controlekaart niet aangetoond.</t>
  </si>
  <si>
    <t>Niks ingeleverd, of geen NPI toegepast.</t>
  </si>
  <si>
    <t>Model is consistent met conceptueel model en eventuele afwijkingen worden benoemd.  Relaties hebben over het algemeen de correcte cardinaliteit en worden toegelicht. Afhankelijkheden zijn gemodelleerd. Er is een consistente tekenwijze gevolgd. Primary identifiers zijn juist gemodelleerd.  Gemaakte keuzes en alternatieven worden besproken.</t>
  </si>
  <si>
    <t xml:space="preserve">Model is grotendeels consistent met conceptueel model.  Relaties hebben over het algemeen de correcte cardinaliteit. De meeste afhankelijkheden zijn gemodelleerd. Er is een consistente tekenwijze gevolgd. De meeste primary identifiers zijn juist gemodelleerd.  </t>
  </si>
  <si>
    <t xml:space="preserve">Model is slecht gedeeltelijk consistent met conceptueel model.  Cardinaliteiten ontbreken of zijn onjuist. Er zijn nauwelijks afhankelijkheden gemodelleerd. Er zijn een aantal primary identifiers gemodelleerd.  </t>
  </si>
  <si>
    <t>Niks ingeleverd, of model is grotendeels onjuist.</t>
  </si>
  <si>
    <t>Model is consistent met ER model en eventuele afwijkingen worden volledig toegelicht en gemotiveerd. De gekozen datatypes zijn passend voor een SQL server implementatie. Cascading rules zijn toegepast en volledig gemotiveerd. De 3 gegeven business rules zijn correct geïmplementeerd en toegelicht.  Notatiewijze conform voorgaande modellen. Voor alle tabellen is aangetoond dat deze in 3NV staan met een duidelijke toelichting. Gemaakte keuzes en alternatieven worden goed besproken.</t>
  </si>
  <si>
    <t>Model is consistent met ER model en eventuele afwijkingen worden toegelicht. De gekozen datatypes zijn passend voor een SQL server implementatie. Cascading rules zijn toegepast. De 3 gegeven business rules zijn correct geïmplementeerd.  Notatiewijze conform voorgaande modellen. Voor de meeste tabellen is aangetoond dat deze in 3NV staan met een  toelichting. Gemaakte keuzes en alternatieven worden besproken.</t>
  </si>
  <si>
    <t xml:space="preserve">Model is grotendeels consistent met ER model. De gekozen datatypes zijn over het algemeen passend voor een SQL server implementatie. Cascading rules zijn grotendeels toegepast. De 3 gegeven business rules zijn geïmplementeerd.  Notatiewijze conform voorgaande modellen. Voor de meeste tabellen is aangetoond dat deze in 3NV staan. </t>
  </si>
  <si>
    <t xml:space="preserve">Model is slechts gedeeltelijk consistent met ER model.  Cascading rules zijn niet toegepast. De 3 gegeven business rules zijn niet geïmplementeerd.  Voor enkele tabellen is aangetoond dat deze in 3NV staan. </t>
  </si>
  <si>
    <t>Er is niets ingeleverd, of model is niet consistent met ERD, geen datatypes gekozen, geen cascading rules, en geen normalisering toegepast.</t>
  </si>
  <si>
    <t xml:space="preserve">Er zijn consistente create statements voor enkele tabellen conform het fysieke model. Er is voor enkele tabellen een voorbeeldpopulatie. Er is geen voorbeeldpopulatie waarmee business rules aangetoond worden. Scripts bevat geen commentaar. </t>
  </si>
  <si>
    <t>Er zijn consistente create statements voor alle tabellen conform het fysieke model. Er is voor de meeste tabellen een voorbeeldpopulatie die de integriteit van de database niet schendt.  Er zijn 3 nieuwe business rules bedacht en aan het script toegevoegd en geïmplementeerd. Er is correcte voorbeeldpopulatie waarmee alle business rules aangetoond worden (positief of negatief).   Scripts bevatten duidelijk commentaar. Scripts zijn herhaalbaar.</t>
  </si>
  <si>
    <t xml:space="preserve">Er zijn consistente create statements voor de meeste tabellen conform het fysieke model. Er is voor de meeste tabellen een voorbeeldpopulatie. Er is minimaal 1 nieuwe business rule bedacht en aan het script toegevoegd, correct geïmplementeerd en toegelicht. Er is voor de business rules een voorbeeldpopulatie waarmee deze business rules aangetoond worden (positief of negatief). Scripts bevatten commentaar. </t>
  </si>
  <si>
    <t>Er is niets ingeleverd, of script is niet consistent met fysiek- en/of ERD model, geen voorbeeldpopulatie, geen nieuwe businessrules, geen commentaar.</t>
  </si>
  <si>
    <t>Er zijn consistente create statements voor alle tabellen conform het fysieke model. Er is correcte voorbeeldpopulatie per tabel die de integriteit van de database niet schendt.  Er zijn minimaal 6 nieuwe business rules bedacht en aan het script toegevoegd, correct geïmplementeerd en toegelicht. Er is correcte voorbeeldpopulatie waarmee alle business rules aangetoond worden (zowel positief als negatief).  Scripts bevatten duidelijk commentaar en geven toelichting op elk individueel statement. Scripts zijn herhaalbaar.</t>
  </si>
  <si>
    <t>Model is consistent met conceptueel model en eventuele afwijkingen worden volledig toegelicht en gemotiveerd.  Relaties hebben de correcte cardinaliteit en worden toegelicht. Afhankelijkheden zijn juist gemodelleerd en toegelicht. Er is een consistente tekenwijze gevolgd. Primary identifiers zijn juist gemodelleerd.  Gemaakte keuzes en alternatieven worden goed besproken.</t>
  </si>
  <si>
    <t>NPI/Conceptueel model</t>
  </si>
  <si>
    <t>CDM model</t>
  </si>
  <si>
    <t>Concepten uit de casus zijn allemaal aanwezig en worden volledig toegelicht. Relaties zijn correct gemodelleerd. Notatiewijze is correct gebruikt, alleen entiteiten en relaties.  Tussenstappen NPI zijn volledig gedocumenteerd, toegelicht en alternatieven worden goed besproken.</t>
  </si>
  <si>
    <t>De meeste concepten uit de casus zijn aanwezig en worden toegelicht. De meeste relaties zijn correct gemodelleerd. Notatiewijze is correct gebruikt, alleen entiteiten en relaties.  Tussenstappen NPI zijn gedocumenteerd, toegelicht en alternatieven worden besproken.</t>
  </si>
  <si>
    <t>De meeste concepten uit de casus zijn aanwezig. De meeste relaties zijn correct gemodelleerd. Notatiewijze is over het algemeen correct gebruikt. NPI is toegepast.</t>
  </si>
  <si>
    <t>Enkele concepten uit de casus zijn aanwezig. Sommige relaties zijn gemodelleerd. NPI is deels toegepast.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</si>
</sst>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sz val="10"/>
      <color rgb="FF000000"/>
      <name val="Arial"/>
      <family val="2"/>
    </font>
    <font>
      <u/>
      <sz val="11"/>
      <color theme="10"/>
      <name val="Calibri"/>
      <family val="2"/>
      <scheme val="minor"/>
    </font>
    <font>
      <sz val="10"/>
      <name val="Arial"/>
      <family val="2"/>
    </font>
    <font>
      <sz val="10"/>
      <name val="Calibri"/>
      <family val="2"/>
    </font>
    <font>
      <sz val="10"/>
      <color rgb="FF000000"/>
      <name val="Arial"/>
      <family val="2"/>
    </font>
    <font>
      <b/>
      <sz val="14"/>
      <name val="Arial"/>
      <family val="2"/>
    </font>
    <font>
      <b/>
      <sz val="18"/>
      <name val="Arial"/>
      <family val="2"/>
    </font>
    <font>
      <sz val="12"/>
      <name val="Arial"/>
      <family val="2"/>
    </font>
    <font>
      <b/>
      <sz val="10"/>
      <name val="Arial"/>
      <family val="2"/>
    </font>
    <font>
      <sz val="10"/>
      <color rgb="FF000000"/>
      <name val="Calibri"/>
      <family val="2"/>
    </font>
  </fonts>
  <fills count="5">
    <fill>
      <patternFill patternType="none"/>
    </fill>
    <fill>
      <patternFill patternType="gray125"/>
    </fill>
    <fill>
      <patternFill patternType="solid">
        <fgColor rgb="FFFFFF00"/>
        <bgColor rgb="FFFFFF00"/>
      </patternFill>
    </fill>
    <fill>
      <patternFill patternType="solid">
        <fgColor rgb="FFEFEFEF"/>
        <bgColor rgb="FFEFEFEF"/>
      </patternFill>
    </fill>
    <fill>
      <patternFill patternType="solid">
        <fgColor rgb="FFF3F3F3"/>
        <bgColor rgb="FFF3F3F3"/>
      </patternFill>
    </fill>
  </fills>
  <borders count="2">
    <border>
      <left/>
      <right/>
      <top/>
      <bottom/>
      <diagonal/>
    </border>
    <border>
      <left/>
      <right/>
      <top/>
      <bottom style="double">
        <color indexed="64"/>
      </bottom>
      <diagonal/>
    </border>
  </borders>
  <cellStyleXfs count="4">
    <xf numFmtId="0" fontId="0" fillId="0" borderId="0"/>
    <xf numFmtId="0" fontId="1" fillId="0" borderId="0"/>
    <xf numFmtId="0" fontId="2" fillId="0" borderId="0" applyNumberFormat="0" applyFill="0" applyBorder="0" applyAlignment="0" applyProtection="0"/>
    <xf numFmtId="0" fontId="5" fillId="0" borderId="0"/>
  </cellStyleXfs>
  <cellXfs count="42">
    <xf numFmtId="0" fontId="0" fillId="0" borderId="0" xfId="0"/>
    <xf numFmtId="0" fontId="2" fillId="0" borderId="0" xfId="2"/>
    <xf numFmtId="0" fontId="3" fillId="0" borderId="0" xfId="3" applyFont="1" applyAlignment="1">
      <alignment horizontal="right"/>
    </xf>
    <xf numFmtId="0" fontId="3" fillId="0" borderId="0" xfId="3" applyFont="1" applyAlignment="1">
      <alignment horizontal="center" wrapText="1"/>
    </xf>
    <xf numFmtId="0" fontId="5" fillId="0" borderId="0" xfId="3" applyFont="1" applyAlignment="1"/>
    <xf numFmtId="0" fontId="8" fillId="0" borderId="0" xfId="3" applyFont="1" applyAlignment="1">
      <alignment horizontal="center" vertical="center"/>
    </xf>
    <xf numFmtId="0" fontId="3" fillId="0" borderId="0" xfId="3" applyFont="1" applyAlignment="1">
      <alignment horizontal="center"/>
    </xf>
    <xf numFmtId="10" fontId="7" fillId="0" borderId="0" xfId="3" applyNumberFormat="1" applyFont="1" applyAlignment="1">
      <alignment horizontal="center"/>
    </xf>
    <xf numFmtId="0" fontId="3" fillId="0" borderId="0" xfId="3" applyFont="1" applyAlignment="1">
      <alignment horizontal="center" vertical="center" wrapText="1"/>
    </xf>
    <xf numFmtId="0" fontId="3" fillId="2" borderId="0" xfId="3" applyFont="1" applyFill="1" applyAlignment="1">
      <alignment horizontal="center" vertical="center" wrapText="1"/>
    </xf>
    <xf numFmtId="10" fontId="3" fillId="0" borderId="0" xfId="3" applyNumberFormat="1" applyFont="1" applyAlignment="1">
      <alignment horizontal="center"/>
    </xf>
    <xf numFmtId="0" fontId="3" fillId="3" borderId="0" xfId="3" applyFont="1" applyFill="1" applyAlignment="1">
      <alignment wrapText="1"/>
    </xf>
    <xf numFmtId="0" fontId="3" fillId="4" borderId="0" xfId="3" applyFont="1" applyFill="1" applyAlignment="1">
      <alignment horizontal="center"/>
    </xf>
    <xf numFmtId="0" fontId="9" fillId="0" borderId="0" xfId="3" applyFont="1" applyAlignment="1">
      <alignment horizontal="center"/>
    </xf>
    <xf numFmtId="10" fontId="9" fillId="0" borderId="0" xfId="3" applyNumberFormat="1" applyFont="1" applyAlignment="1">
      <alignment horizontal="center" wrapText="1"/>
    </xf>
    <xf numFmtId="0" fontId="9" fillId="3" borderId="0" xfId="3" applyFont="1" applyFill="1" applyAlignment="1">
      <alignment wrapText="1"/>
    </xf>
    <xf numFmtId="0" fontId="9" fillId="3" borderId="0" xfId="3" applyFont="1" applyFill="1" applyAlignment="1">
      <alignment horizontal="center"/>
    </xf>
    <xf numFmtId="0" fontId="9" fillId="0" borderId="0" xfId="3" applyFont="1"/>
    <xf numFmtId="0" fontId="10" fillId="3" borderId="0" xfId="3" applyFont="1" applyFill="1" applyAlignment="1">
      <alignment vertical="top" wrapText="1"/>
    </xf>
    <xf numFmtId="10" fontId="3" fillId="0" borderId="0" xfId="3" applyNumberFormat="1" applyFont="1"/>
    <xf numFmtId="9" fontId="3" fillId="4" borderId="0" xfId="3" applyNumberFormat="1" applyFont="1" applyFill="1" applyAlignment="1">
      <alignment horizontal="center"/>
    </xf>
    <xf numFmtId="0" fontId="7" fillId="0" borderId="0" xfId="3" applyFont="1" applyAlignment="1">
      <alignment horizontal="center"/>
    </xf>
    <xf numFmtId="0" fontId="4" fillId="0" borderId="0" xfId="3" applyFont="1" applyAlignment="1">
      <alignment vertical="top" wrapText="1"/>
    </xf>
    <xf numFmtId="0" fontId="4" fillId="0" borderId="0" xfId="3" applyFont="1" applyAlignment="1">
      <alignment horizontal="center" vertical="top" wrapText="1"/>
    </xf>
    <xf numFmtId="0" fontId="7" fillId="0" borderId="1" xfId="3" applyFont="1" applyBorder="1" applyAlignment="1">
      <alignment horizontal="center"/>
    </xf>
    <xf numFmtId="0" fontId="4" fillId="0" borderId="1" xfId="3" applyFont="1" applyBorder="1" applyAlignment="1">
      <alignment horizontal="center" vertical="top" wrapText="1"/>
    </xf>
    <xf numFmtId="0" fontId="0" fillId="0" borderId="0" xfId="0" applyAlignment="1">
      <alignment horizontal="left"/>
    </xf>
    <xf numFmtId="2" fontId="3" fillId="0" borderId="0" xfId="3" applyNumberFormat="1" applyFont="1"/>
    <xf numFmtId="2" fontId="3" fillId="0" borderId="0" xfId="3" applyNumberFormat="1" applyFont="1" applyFill="1" applyAlignment="1">
      <alignment horizontal="center" wrapText="1"/>
    </xf>
    <xf numFmtId="0" fontId="1" fillId="0" borderId="0" xfId="3" applyFont="1" applyAlignment="1">
      <alignment horizontal="center"/>
    </xf>
    <xf numFmtId="2" fontId="3" fillId="0" borderId="0" xfId="3" applyNumberFormat="1" applyFont="1" applyFill="1" applyAlignment="1">
      <alignment horizontal="center" vertical="top"/>
    </xf>
    <xf numFmtId="0" fontId="5" fillId="0" borderId="0" xfId="3" applyFont="1" applyAlignment="1"/>
    <xf numFmtId="0" fontId="4" fillId="0" borderId="0" xfId="3" applyFont="1" applyBorder="1" applyAlignment="1">
      <alignment horizontal="center" vertical="top" wrapText="1"/>
    </xf>
    <xf numFmtId="2" fontId="3" fillId="0" borderId="1" xfId="3" applyNumberFormat="1" applyFont="1" applyBorder="1" applyAlignment="1">
      <alignment horizontal="center" vertical="top"/>
    </xf>
    <xf numFmtId="0" fontId="10" fillId="3" borderId="1" xfId="3" applyFont="1" applyFill="1" applyBorder="1" applyAlignment="1">
      <alignment vertical="top" wrapText="1"/>
    </xf>
    <xf numFmtId="0" fontId="0" fillId="0" borderId="0" xfId="0" applyAlignment="1" applyProtection="1">
      <alignment horizontal="center"/>
      <protection locked="0"/>
    </xf>
    <xf numFmtId="10" fontId="6" fillId="2" borderId="0" xfId="3" applyNumberFormat="1" applyFont="1" applyFill="1" applyAlignment="1">
      <alignment horizontal="center"/>
    </xf>
    <xf numFmtId="0" fontId="5" fillId="0" borderId="0" xfId="3" applyFont="1" applyAlignment="1"/>
    <xf numFmtId="0" fontId="3" fillId="2" borderId="0" xfId="3" applyFont="1" applyFill="1" applyAlignment="1">
      <alignment horizontal="center" vertical="center"/>
    </xf>
    <xf numFmtId="164" fontId="7" fillId="0" borderId="0" xfId="3" applyNumberFormat="1" applyFont="1" applyAlignment="1">
      <alignment horizontal="center"/>
    </xf>
    <xf numFmtId="164" fontId="5" fillId="0" borderId="0" xfId="3" applyNumberFormat="1" applyFont="1" applyAlignment="1"/>
    <xf numFmtId="0" fontId="3" fillId="2" borderId="0" xfId="3" applyFont="1" applyFill="1" applyAlignment="1">
      <alignment horizontal="center" vertical="center" wrapText="1"/>
    </xf>
  </cellXfs>
  <cellStyles count="4">
    <cellStyle name="Hyperlink" xfId="2" builtinId="8"/>
    <cellStyle name="Standaard" xfId="0" builtinId="0"/>
    <cellStyle name="Standaard 2" xfId="1" xr:uid="{00000000-0005-0000-0000-000002000000}"/>
    <cellStyle name="Standaard 3" xfId="3" xr:uid="{00000000-0005-0000-0000-000003000000}"/>
  </cellStyles>
  <dxfs count="18">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FCE8B2"/>
          <bgColor rgb="FFFCE8B2"/>
        </patternFill>
      </fill>
    </dxf>
    <dxf>
      <fill>
        <patternFill patternType="solid">
          <fgColor rgb="FF00FF00"/>
          <bgColor rgb="FF00FF00"/>
        </patternFill>
      </fill>
    </dxf>
    <dxf>
      <fill>
        <patternFill patternType="solid">
          <fgColor rgb="FFFF0000"/>
          <bgColor rgb="FFFF0000"/>
        </patternFill>
      </fill>
    </dxf>
    <dxf>
      <fill>
        <patternFill patternType="solid">
          <fgColor rgb="FFFF9900"/>
          <bgColor rgb="FFFF990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11</xdr:col>
      <xdr:colOff>44450</xdr:colOff>
      <xdr:row>0</xdr:row>
      <xdr:rowOff>139700</xdr:rowOff>
    </xdr:from>
    <xdr:to>
      <xdr:col>18</xdr:col>
      <xdr:colOff>95250</xdr:colOff>
      <xdr:row>10</xdr:row>
      <xdr:rowOff>82550</xdr:rowOff>
    </xdr:to>
    <xdr:sp macro="" textlink="">
      <xdr:nvSpPr>
        <xdr:cNvPr id="3" name="Tekstvak 2">
          <a:extLst>
            <a:ext uri="{FF2B5EF4-FFF2-40B4-BE49-F238E27FC236}">
              <a16:creationId xmlns:a16="http://schemas.microsoft.com/office/drawing/2014/main" id="{9ED0A61B-156F-4CDC-9C8E-FDA9EDDE87B4}"/>
            </a:ext>
          </a:extLst>
        </xdr:cNvPr>
        <xdr:cNvSpPr txBox="1"/>
      </xdr:nvSpPr>
      <xdr:spPr>
        <a:xfrm>
          <a:off x="6896100" y="139700"/>
          <a:ext cx="4318000" cy="1784350"/>
        </a:xfrm>
        <a:prstGeom prst="flowChartAlternateProcess">
          <a:avLst/>
        </a:prstGeom>
        <a:solidFill>
          <a:schemeClr val="accent1">
            <a:lumMod val="60000"/>
            <a:lumOff val="40000"/>
          </a:schemeClr>
        </a:solidFill>
        <a:ln>
          <a:solidFill>
            <a:srgbClr val="FFC00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nl-NL" sz="1100"/>
            <a:t>Maillijst klaar?</a:t>
          </a:r>
          <a:r>
            <a:rPr lang="nl-NL" sz="1100" baseline="0"/>
            <a:t> M</a:t>
          </a:r>
          <a:r>
            <a:rPr lang="nl-NL" sz="1100"/>
            <a:t>aak dan sheets aan met Ctrl+k</a:t>
          </a:r>
        </a:p>
        <a:p>
          <a:endParaRPr lang="nl-NL" sz="1100"/>
        </a:p>
        <a:p>
          <a:r>
            <a:rPr lang="nl-NL" sz="1100"/>
            <a:t>Beoordelen klaar?? Mail  student met Ctrl + M (wel steeds eerst op de juiste werkblad gaan staan)</a:t>
          </a:r>
        </a:p>
        <a:p>
          <a:endParaRPr lang="nl-NL" sz="1100"/>
        </a:p>
        <a:p>
          <a:r>
            <a:rPr lang="nl-NL" sz="1100"/>
            <a:t>Uitslagen in werkblad </a:t>
          </a:r>
          <a:r>
            <a:rPr lang="nl-NL" sz="1100">
              <a:solidFill>
                <a:schemeClr val="dk1"/>
              </a:solidFill>
              <a:effectLst/>
              <a:latin typeface="+mn-lt"/>
              <a:ea typeface="+mn-ea"/>
              <a:cs typeface="+mn-cs"/>
            </a:rPr>
            <a:t>Maillijst </a:t>
          </a:r>
          <a:r>
            <a:rPr lang="nl-NL" sz="1100"/>
            <a:t>toevoegen? (handig voor de domeindocent) dan Ctrl + J</a:t>
          </a:r>
        </a:p>
      </xdr:txBody>
    </xdr:sp>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7"/>
  <sheetViews>
    <sheetView workbookViewId="0">
      <selection activeCell="H13" sqref="H13"/>
    </sheetView>
  </sheetViews>
  <sheetFormatPr defaultRowHeight="14.4" x14ac:dyDescent="0.3"/>
  <cols>
    <col min="1" max="1" width="10.88671875" customWidth="1"/>
  </cols>
  <sheetData>
    <row r="1" spans="1:7" x14ac:dyDescent="0.3">
      <c r="A1" s="35" t="s">
        <v>6</v>
      </c>
      <c r="B1" s="35"/>
      <c r="C1" s="35"/>
      <c r="D1" s="35"/>
    </row>
    <row r="2" spans="1:7" x14ac:dyDescent="0.3">
      <c r="A2" s="1"/>
    </row>
    <row r="3" spans="1:7" x14ac:dyDescent="0.3">
      <c r="A3" s="1"/>
    </row>
    <row r="4" spans="1:7" x14ac:dyDescent="0.3">
      <c r="A4" s="1"/>
    </row>
    <row r="7" spans="1:7" x14ac:dyDescent="0.3">
      <c r="G7" s="26"/>
    </row>
  </sheetData>
  <mergeCells count="1">
    <mergeCell ref="A1:D1"/>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3"/>
  <dimension ref="A1:U97"/>
  <sheetViews>
    <sheetView tabSelected="1" zoomScaleNormal="100" workbookViewId="0">
      <selection activeCell="D11" sqref="D11"/>
    </sheetView>
  </sheetViews>
  <sheetFormatPr defaultColWidth="14.44140625" defaultRowHeight="15.75" customHeight="1" x14ac:dyDescent="0.25"/>
  <cols>
    <col min="1" max="1" width="14.44140625" style="4"/>
    <col min="2" max="2" width="10.44140625" style="4" customWidth="1"/>
    <col min="3" max="3" width="10.88671875" style="4" customWidth="1"/>
    <col min="4" max="4" width="34" style="4" customWidth="1"/>
    <col min="5" max="5" width="33" style="4" customWidth="1"/>
    <col min="6" max="6" width="35" style="4" customWidth="1"/>
    <col min="7" max="7" width="34.88671875" style="4" customWidth="1"/>
    <col min="8" max="8" width="38.44140625" style="4" customWidth="1"/>
    <col min="9" max="10" width="14.44140625" style="4" customWidth="1"/>
    <col min="11" max="15" width="7.44140625" style="4" customWidth="1"/>
    <col min="16" max="16" width="10" style="4" customWidth="1"/>
    <col min="17" max="16384" width="14.44140625" style="4"/>
  </cols>
  <sheetData>
    <row r="1" spans="1:21" ht="18.75" customHeight="1" x14ac:dyDescent="0.3">
      <c r="A1" s="2"/>
      <c r="B1" s="36"/>
      <c r="C1" s="37"/>
      <c r="D1" s="37"/>
      <c r="E1" s="3" t="s">
        <v>8</v>
      </c>
      <c r="F1" s="38" t="s">
        <v>15</v>
      </c>
      <c r="G1" s="37"/>
      <c r="H1" s="37"/>
    </row>
    <row r="2" spans="1:21" ht="22.8" x14ac:dyDescent="0.4">
      <c r="A2" s="2" t="s">
        <v>0</v>
      </c>
      <c r="B2" s="39">
        <f>(SUM(I9:I13)/10)</f>
        <v>10</v>
      </c>
      <c r="C2" s="40"/>
      <c r="D2" s="5" t="s">
        <v>1</v>
      </c>
      <c r="E2" s="29"/>
      <c r="G2" s="6"/>
      <c r="H2" s="6"/>
    </row>
    <row r="3" spans="1:21" ht="54" customHeight="1" x14ac:dyDescent="0.4">
      <c r="A3" s="2"/>
      <c r="B3" s="7"/>
      <c r="C3" s="8"/>
      <c r="D3" s="9"/>
      <c r="E3" s="8" t="s">
        <v>7</v>
      </c>
      <c r="F3" s="41"/>
      <c r="G3" s="37"/>
      <c r="H3" s="37"/>
    </row>
    <row r="4" spans="1:21" ht="13.2" x14ac:dyDescent="0.25">
      <c r="A4" s="6"/>
      <c r="B4" s="10"/>
      <c r="C4" s="11"/>
      <c r="D4" s="6"/>
      <c r="E4" s="6"/>
      <c r="F4" s="37"/>
      <c r="G4" s="37"/>
      <c r="H4" s="37"/>
    </row>
    <row r="5" spans="1:21" ht="13.2" hidden="1" x14ac:dyDescent="0.25">
      <c r="A5" s="3" t="str">
        <f>IF(B5=10,"",IF(B5&lt;1,"You need to add "&amp;ROUND((1-B5),2)&amp;" points to a category.","You need to remove "&amp;ROUND((B5-1)*100,2)&amp;" points from a category."))</f>
        <v/>
      </c>
      <c r="B5" s="28">
        <f>SUM(B9:B13)/10</f>
        <v>10</v>
      </c>
      <c r="C5" s="11"/>
      <c r="D5" s="12"/>
      <c r="E5" s="12"/>
      <c r="F5" s="12"/>
      <c r="G5" s="12"/>
      <c r="H5" s="12"/>
      <c r="I5" s="4">
        <f>COUNTA(C9:C13)</f>
        <v>5</v>
      </c>
    </row>
    <row r="6" spans="1:21" ht="26.4" x14ac:dyDescent="0.25">
      <c r="A6" s="13" t="s">
        <v>2</v>
      </c>
      <c r="B6" s="14" t="s">
        <v>3</v>
      </c>
      <c r="C6" s="15" t="s">
        <v>4</v>
      </c>
      <c r="D6" s="16">
        <v>4</v>
      </c>
      <c r="E6" s="16">
        <v>3</v>
      </c>
      <c r="F6" s="16">
        <v>2</v>
      </c>
      <c r="G6" s="16">
        <v>1</v>
      </c>
      <c r="H6" s="16">
        <v>0</v>
      </c>
      <c r="I6" s="17"/>
      <c r="J6" s="17"/>
      <c r="K6" s="17"/>
      <c r="L6" s="17">
        <f>H6</f>
        <v>0</v>
      </c>
      <c r="M6" s="17">
        <f>G6</f>
        <v>1</v>
      </c>
      <c r="N6" s="17">
        <f>F6</f>
        <v>2</v>
      </c>
      <c r="O6" s="17">
        <f>E6</f>
        <v>3</v>
      </c>
      <c r="P6" s="17">
        <f>D6</f>
        <v>4</v>
      </c>
      <c r="Q6" s="17"/>
      <c r="R6" s="17"/>
      <c r="S6" s="17"/>
      <c r="T6" s="17"/>
      <c r="U6" s="17"/>
    </row>
    <row r="7" spans="1:21" ht="13.8" x14ac:dyDescent="0.25">
      <c r="A7" s="13"/>
      <c r="B7" s="10"/>
      <c r="C7" s="11"/>
      <c r="D7" s="18"/>
      <c r="E7" s="18"/>
      <c r="F7" s="18"/>
      <c r="G7" s="18"/>
      <c r="H7" s="18"/>
      <c r="L7" s="19">
        <f>H8</f>
        <v>0</v>
      </c>
      <c r="M7" s="19">
        <f>G8</f>
        <v>0.25</v>
      </c>
      <c r="N7" s="19">
        <f>F8</f>
        <v>0.55000000000000004</v>
      </c>
      <c r="O7" s="19">
        <f>E8</f>
        <v>0.8</v>
      </c>
      <c r="P7" s="19">
        <f>D8</f>
        <v>1</v>
      </c>
    </row>
    <row r="8" spans="1:21" ht="13.2" x14ac:dyDescent="0.25">
      <c r="A8" s="13"/>
      <c r="B8" s="10"/>
      <c r="C8" s="11">
        <v>2</v>
      </c>
      <c r="D8" s="20">
        <v>1</v>
      </c>
      <c r="E8" s="20">
        <v>0.8</v>
      </c>
      <c r="F8" s="20">
        <v>0.55000000000000004</v>
      </c>
      <c r="G8" s="20">
        <v>0.25</v>
      </c>
      <c r="H8" s="20">
        <v>0</v>
      </c>
    </row>
    <row r="9" spans="1:21" ht="110.4" x14ac:dyDescent="0.4">
      <c r="A9" s="21">
        <v>4</v>
      </c>
      <c r="B9" s="30">
        <v>10</v>
      </c>
      <c r="C9" s="18" t="s">
        <v>5</v>
      </c>
      <c r="D9" s="22" t="s">
        <v>12</v>
      </c>
      <c r="E9" s="32" t="s">
        <v>11</v>
      </c>
      <c r="F9" s="23" t="s">
        <v>10</v>
      </c>
      <c r="G9" s="32" t="s">
        <v>9</v>
      </c>
      <c r="H9" s="23" t="s">
        <v>16</v>
      </c>
      <c r="I9" s="27">
        <f>IF(C9="","",HLOOKUP(A9,$L$6:$P$7,2)*$B9)</f>
        <v>10</v>
      </c>
      <c r="R9" s="31"/>
    </row>
    <row r="10" spans="1:21" ht="110.4" x14ac:dyDescent="0.4">
      <c r="A10" s="21">
        <v>4</v>
      </c>
      <c r="B10" s="30">
        <v>15</v>
      </c>
      <c r="C10" s="18" t="s">
        <v>33</v>
      </c>
      <c r="D10" s="23" t="s">
        <v>35</v>
      </c>
      <c r="E10" s="32" t="s">
        <v>36</v>
      </c>
      <c r="F10" s="23" t="s">
        <v>37</v>
      </c>
      <c r="G10" s="32" t="s">
        <v>38</v>
      </c>
      <c r="H10" s="23" t="s">
        <v>17</v>
      </c>
      <c r="I10" s="27">
        <f t="shared" ref="I10:I13" si="0">IF(C10="","",HLOOKUP(A10,$L$6:$P$7,2)*$B10)</f>
        <v>15</v>
      </c>
    </row>
    <row r="11" spans="1:21" ht="138" x14ac:dyDescent="0.4">
      <c r="A11" s="21">
        <v>4</v>
      </c>
      <c r="B11" s="30">
        <v>30</v>
      </c>
      <c r="C11" s="18" t="s">
        <v>34</v>
      </c>
      <c r="D11" s="23" t="s">
        <v>32</v>
      </c>
      <c r="E11" s="32" t="s">
        <v>18</v>
      </c>
      <c r="F11" s="23" t="s">
        <v>19</v>
      </c>
      <c r="G11" s="32" t="s">
        <v>20</v>
      </c>
      <c r="H11" s="23" t="s">
        <v>21</v>
      </c>
      <c r="I11" s="27">
        <f t="shared" si="0"/>
        <v>30</v>
      </c>
    </row>
    <row r="12" spans="1:21" ht="185.4" customHeight="1" x14ac:dyDescent="0.4">
      <c r="A12" s="21">
        <v>4</v>
      </c>
      <c r="B12" s="30">
        <v>20</v>
      </c>
      <c r="C12" s="18" t="s">
        <v>13</v>
      </c>
      <c r="D12" s="23" t="s">
        <v>22</v>
      </c>
      <c r="E12" s="32" t="s">
        <v>23</v>
      </c>
      <c r="F12" s="23" t="s">
        <v>24</v>
      </c>
      <c r="G12" s="32" t="s">
        <v>25</v>
      </c>
      <c r="H12" s="23" t="s">
        <v>26</v>
      </c>
      <c r="I12" s="27">
        <f t="shared" si="0"/>
        <v>20</v>
      </c>
    </row>
    <row r="13" spans="1:21" ht="198.6" customHeight="1" thickBot="1" x14ac:dyDescent="0.45">
      <c r="A13" s="24">
        <v>4</v>
      </c>
      <c r="B13" s="33">
        <v>25</v>
      </c>
      <c r="C13" s="34" t="s">
        <v>14</v>
      </c>
      <c r="D13" s="25" t="s">
        <v>31</v>
      </c>
      <c r="E13" s="25" t="s">
        <v>28</v>
      </c>
      <c r="F13" s="25" t="s">
        <v>29</v>
      </c>
      <c r="G13" s="25" t="s">
        <v>27</v>
      </c>
      <c r="H13" s="25" t="s">
        <v>30</v>
      </c>
      <c r="I13" s="27">
        <f t="shared" si="0"/>
        <v>25</v>
      </c>
    </row>
    <row r="14" spans="1:21" ht="23.4" thickTop="1" x14ac:dyDescent="0.4">
      <c r="A14" s="21" t="str">
        <f t="shared" ref="A14:A92" si="1">IF(C14="","",4)</f>
        <v/>
      </c>
      <c r="B14" s="10"/>
      <c r="C14" s="11"/>
      <c r="D14" s="3"/>
      <c r="E14" s="3" t="str">
        <f t="shared" ref="D14:H26" si="2">IF($C14="","","Description of "&amp;$C14&amp;" at a level of "&amp;E$6)</f>
        <v/>
      </c>
      <c r="F14" s="3" t="str">
        <f t="shared" si="2"/>
        <v/>
      </c>
      <c r="G14" s="3" t="str">
        <f t="shared" si="2"/>
        <v/>
      </c>
      <c r="H14" s="3" t="str">
        <f t="shared" si="2"/>
        <v/>
      </c>
      <c r="I14" s="4" t="str">
        <f t="shared" ref="I14:I97" si="3">IF(C14="","",HLOOKUP(A14,$K$6:$P$7,2)*$B14)</f>
        <v/>
      </c>
    </row>
    <row r="15" spans="1:21" ht="22.8" x14ac:dyDescent="0.4">
      <c r="A15" s="21" t="str">
        <f t="shared" si="1"/>
        <v/>
      </c>
      <c r="B15" s="10" t="str">
        <f t="shared" ref="B15:B97" si="4">IF(C15="","",1/$I$5)</f>
        <v/>
      </c>
      <c r="C15" s="11"/>
      <c r="D15" s="3"/>
      <c r="E15" s="3" t="str">
        <f t="shared" si="2"/>
        <v/>
      </c>
      <c r="F15" s="3" t="str">
        <f t="shared" si="2"/>
        <v/>
      </c>
      <c r="G15" s="3" t="str">
        <f t="shared" si="2"/>
        <v/>
      </c>
      <c r="H15" s="3" t="str">
        <f t="shared" si="2"/>
        <v/>
      </c>
      <c r="I15" s="4" t="str">
        <f t="shared" si="3"/>
        <v/>
      </c>
    </row>
    <row r="16" spans="1:21" ht="22.8" x14ac:dyDescent="0.4">
      <c r="A16" s="21" t="str">
        <f t="shared" si="1"/>
        <v/>
      </c>
      <c r="B16" s="10" t="str">
        <f t="shared" si="4"/>
        <v/>
      </c>
      <c r="C16" s="11"/>
      <c r="D16" s="3"/>
      <c r="E16" s="3" t="str">
        <f t="shared" si="2"/>
        <v/>
      </c>
      <c r="F16" s="3" t="str">
        <f t="shared" si="2"/>
        <v/>
      </c>
      <c r="G16" s="3" t="str">
        <f t="shared" si="2"/>
        <v/>
      </c>
      <c r="H16" s="3" t="str">
        <f t="shared" si="2"/>
        <v/>
      </c>
      <c r="I16" s="4" t="str">
        <f t="shared" si="3"/>
        <v/>
      </c>
    </row>
    <row r="17" spans="1:9" ht="22.8" x14ac:dyDescent="0.4">
      <c r="A17" s="21" t="str">
        <f t="shared" si="1"/>
        <v/>
      </c>
      <c r="B17" s="10" t="str">
        <f t="shared" si="4"/>
        <v/>
      </c>
      <c r="C17" s="11"/>
      <c r="D17" s="3" t="str">
        <f t="shared" si="2"/>
        <v/>
      </c>
      <c r="E17" s="3" t="str">
        <f t="shared" si="2"/>
        <v/>
      </c>
      <c r="F17" s="3" t="str">
        <f t="shared" si="2"/>
        <v/>
      </c>
      <c r="G17" s="3" t="str">
        <f t="shared" si="2"/>
        <v/>
      </c>
      <c r="H17" s="3" t="str">
        <f t="shared" si="2"/>
        <v/>
      </c>
      <c r="I17" s="4" t="str">
        <f t="shared" si="3"/>
        <v/>
      </c>
    </row>
    <row r="18" spans="1:9" ht="22.8" x14ac:dyDescent="0.4">
      <c r="A18" s="21" t="str">
        <f t="shared" si="1"/>
        <v/>
      </c>
      <c r="B18" s="10" t="str">
        <f t="shared" si="4"/>
        <v/>
      </c>
      <c r="C18" s="11"/>
      <c r="D18" s="3" t="str">
        <f t="shared" si="2"/>
        <v/>
      </c>
      <c r="E18" s="3" t="str">
        <f t="shared" si="2"/>
        <v/>
      </c>
      <c r="F18" s="3" t="str">
        <f t="shared" si="2"/>
        <v/>
      </c>
      <c r="G18" s="3" t="str">
        <f t="shared" si="2"/>
        <v/>
      </c>
      <c r="H18" s="3" t="str">
        <f t="shared" si="2"/>
        <v/>
      </c>
      <c r="I18" s="4" t="str">
        <f t="shared" si="3"/>
        <v/>
      </c>
    </row>
    <row r="19" spans="1:9" ht="22.8" x14ac:dyDescent="0.4">
      <c r="A19" s="21" t="str">
        <f t="shared" si="1"/>
        <v/>
      </c>
      <c r="B19" s="10" t="str">
        <f t="shared" si="4"/>
        <v/>
      </c>
      <c r="C19" s="11"/>
      <c r="D19" s="3" t="str">
        <f t="shared" si="2"/>
        <v/>
      </c>
      <c r="E19" s="3" t="str">
        <f t="shared" si="2"/>
        <v/>
      </c>
      <c r="F19" s="3" t="str">
        <f t="shared" si="2"/>
        <v/>
      </c>
      <c r="G19" s="3" t="str">
        <f t="shared" si="2"/>
        <v/>
      </c>
      <c r="H19" s="3" t="str">
        <f t="shared" si="2"/>
        <v/>
      </c>
      <c r="I19" s="4" t="str">
        <f t="shared" si="3"/>
        <v/>
      </c>
    </row>
    <row r="20" spans="1:9" ht="22.8" x14ac:dyDescent="0.4">
      <c r="A20" s="21" t="str">
        <f t="shared" si="1"/>
        <v/>
      </c>
      <c r="B20" s="10" t="str">
        <f t="shared" si="4"/>
        <v/>
      </c>
      <c r="C20" s="11"/>
      <c r="D20" s="3" t="str">
        <f t="shared" si="2"/>
        <v/>
      </c>
      <c r="E20" s="3" t="str">
        <f t="shared" si="2"/>
        <v/>
      </c>
      <c r="F20" s="3" t="str">
        <f t="shared" si="2"/>
        <v/>
      </c>
      <c r="G20" s="3" t="str">
        <f t="shared" si="2"/>
        <v/>
      </c>
      <c r="H20" s="3" t="str">
        <f t="shared" si="2"/>
        <v/>
      </c>
      <c r="I20" s="4" t="str">
        <f t="shared" si="3"/>
        <v/>
      </c>
    </row>
    <row r="21" spans="1:9" ht="22.8" x14ac:dyDescent="0.4">
      <c r="A21" s="21" t="str">
        <f t="shared" si="1"/>
        <v/>
      </c>
      <c r="B21" s="10" t="str">
        <f t="shared" si="4"/>
        <v/>
      </c>
      <c r="C21" s="11"/>
      <c r="D21" s="3" t="str">
        <f t="shared" si="2"/>
        <v/>
      </c>
      <c r="E21" s="3" t="str">
        <f t="shared" si="2"/>
        <v/>
      </c>
      <c r="F21" s="3" t="str">
        <f t="shared" si="2"/>
        <v/>
      </c>
      <c r="G21" s="3" t="str">
        <f t="shared" si="2"/>
        <v/>
      </c>
      <c r="H21" s="3" t="str">
        <f t="shared" si="2"/>
        <v/>
      </c>
      <c r="I21" s="4" t="str">
        <f t="shared" si="3"/>
        <v/>
      </c>
    </row>
    <row r="22" spans="1:9" ht="22.8" x14ac:dyDescent="0.4">
      <c r="A22" s="21" t="str">
        <f t="shared" si="1"/>
        <v/>
      </c>
      <c r="B22" s="10" t="str">
        <f t="shared" si="4"/>
        <v/>
      </c>
      <c r="C22" s="11"/>
      <c r="D22" s="3" t="str">
        <f t="shared" si="2"/>
        <v/>
      </c>
      <c r="E22" s="3" t="str">
        <f t="shared" si="2"/>
        <v/>
      </c>
      <c r="F22" s="3" t="str">
        <f t="shared" si="2"/>
        <v/>
      </c>
      <c r="G22" s="3" t="str">
        <f t="shared" si="2"/>
        <v/>
      </c>
      <c r="H22" s="3" t="str">
        <f t="shared" si="2"/>
        <v/>
      </c>
      <c r="I22" s="4" t="str">
        <f t="shared" si="3"/>
        <v/>
      </c>
    </row>
    <row r="23" spans="1:9" ht="22.8" x14ac:dyDescent="0.4">
      <c r="A23" s="21" t="str">
        <f t="shared" si="1"/>
        <v/>
      </c>
      <c r="B23" s="10" t="str">
        <f t="shared" si="4"/>
        <v/>
      </c>
      <c r="C23" s="11"/>
      <c r="D23" s="3" t="str">
        <f t="shared" si="2"/>
        <v/>
      </c>
      <c r="E23" s="3" t="str">
        <f t="shared" si="2"/>
        <v/>
      </c>
      <c r="F23" s="3" t="str">
        <f t="shared" si="2"/>
        <v/>
      </c>
      <c r="G23" s="3" t="str">
        <f t="shared" si="2"/>
        <v/>
      </c>
      <c r="H23" s="3" t="str">
        <f t="shared" si="2"/>
        <v/>
      </c>
      <c r="I23" s="4" t="str">
        <f t="shared" si="3"/>
        <v/>
      </c>
    </row>
    <row r="24" spans="1:9" ht="22.8" x14ac:dyDescent="0.4">
      <c r="A24" s="21" t="str">
        <f t="shared" si="1"/>
        <v/>
      </c>
      <c r="B24" s="10" t="str">
        <f t="shared" si="4"/>
        <v/>
      </c>
      <c r="C24" s="11"/>
      <c r="D24" s="3" t="str">
        <f t="shared" si="2"/>
        <v/>
      </c>
      <c r="E24" s="3" t="str">
        <f t="shared" si="2"/>
        <v/>
      </c>
      <c r="F24" s="3" t="str">
        <f t="shared" si="2"/>
        <v/>
      </c>
      <c r="G24" s="3" t="str">
        <f t="shared" si="2"/>
        <v/>
      </c>
      <c r="H24" s="3" t="str">
        <f t="shared" si="2"/>
        <v/>
      </c>
      <c r="I24" s="4" t="str">
        <f t="shared" si="3"/>
        <v/>
      </c>
    </row>
    <row r="25" spans="1:9" ht="22.8" x14ac:dyDescent="0.4">
      <c r="A25" s="21" t="str">
        <f t="shared" si="1"/>
        <v/>
      </c>
      <c r="B25" s="10" t="str">
        <f t="shared" si="4"/>
        <v/>
      </c>
      <c r="C25" s="11"/>
      <c r="D25" s="3" t="str">
        <f t="shared" si="2"/>
        <v/>
      </c>
      <c r="E25" s="3" t="str">
        <f t="shared" si="2"/>
        <v/>
      </c>
      <c r="F25" s="3" t="str">
        <f t="shared" si="2"/>
        <v/>
      </c>
      <c r="G25" s="3" t="str">
        <f t="shared" si="2"/>
        <v/>
      </c>
      <c r="H25" s="3" t="str">
        <f t="shared" si="2"/>
        <v/>
      </c>
      <c r="I25" s="4" t="str">
        <f t="shared" si="3"/>
        <v/>
      </c>
    </row>
    <row r="26" spans="1:9" ht="22.8" x14ac:dyDescent="0.4">
      <c r="A26" s="21" t="str">
        <f t="shared" si="1"/>
        <v/>
      </c>
      <c r="B26" s="10" t="str">
        <f t="shared" si="4"/>
        <v/>
      </c>
      <c r="C26" s="11"/>
      <c r="D26" s="3" t="str">
        <f t="shared" si="2"/>
        <v/>
      </c>
      <c r="E26" s="3" t="str">
        <f t="shared" si="2"/>
        <v/>
      </c>
      <c r="F26" s="3" t="str">
        <f t="shared" si="2"/>
        <v/>
      </c>
      <c r="G26" s="3" t="str">
        <f t="shared" si="2"/>
        <v/>
      </c>
      <c r="H26" s="3" t="str">
        <f t="shared" si="2"/>
        <v/>
      </c>
      <c r="I26" s="4" t="str">
        <f t="shared" si="3"/>
        <v/>
      </c>
    </row>
    <row r="27" spans="1:9" ht="22.8" x14ac:dyDescent="0.4">
      <c r="A27" s="21" t="str">
        <f t="shared" si="1"/>
        <v/>
      </c>
      <c r="B27" s="10" t="str">
        <f t="shared" si="4"/>
        <v/>
      </c>
      <c r="C27" s="11"/>
      <c r="D27" s="6" t="str">
        <f t="shared" ref="D27:H42" si="5">IF($C27="","","Description of "&amp;$C27&amp;" at a level of "&amp;D$6)</f>
        <v/>
      </c>
      <c r="E27" s="6" t="str">
        <f t="shared" si="5"/>
        <v/>
      </c>
      <c r="F27" s="6" t="str">
        <f t="shared" si="5"/>
        <v/>
      </c>
      <c r="G27" s="6" t="str">
        <f t="shared" si="5"/>
        <v/>
      </c>
      <c r="H27" s="6" t="str">
        <f t="shared" si="5"/>
        <v/>
      </c>
      <c r="I27" s="4" t="str">
        <f t="shared" si="3"/>
        <v/>
      </c>
    </row>
    <row r="28" spans="1:9" ht="22.8" x14ac:dyDescent="0.4">
      <c r="A28" s="21" t="str">
        <f t="shared" si="1"/>
        <v/>
      </c>
      <c r="B28" s="10" t="str">
        <f t="shared" si="4"/>
        <v/>
      </c>
      <c r="C28" s="11"/>
      <c r="D28" s="6" t="str">
        <f t="shared" si="5"/>
        <v/>
      </c>
      <c r="E28" s="6" t="str">
        <f t="shared" si="5"/>
        <v/>
      </c>
      <c r="F28" s="6" t="str">
        <f t="shared" si="5"/>
        <v/>
      </c>
      <c r="G28" s="6" t="str">
        <f t="shared" si="5"/>
        <v/>
      </c>
      <c r="H28" s="6" t="str">
        <f t="shared" si="5"/>
        <v/>
      </c>
      <c r="I28" s="4" t="str">
        <f t="shared" si="3"/>
        <v/>
      </c>
    </row>
    <row r="29" spans="1:9" ht="22.8" x14ac:dyDescent="0.4">
      <c r="A29" s="21" t="str">
        <f t="shared" si="1"/>
        <v/>
      </c>
      <c r="B29" s="10" t="str">
        <f t="shared" si="4"/>
        <v/>
      </c>
      <c r="C29" s="11"/>
      <c r="D29" s="6" t="str">
        <f t="shared" si="5"/>
        <v/>
      </c>
      <c r="E29" s="6" t="str">
        <f t="shared" si="5"/>
        <v/>
      </c>
      <c r="F29" s="6" t="str">
        <f t="shared" si="5"/>
        <v/>
      </c>
      <c r="G29" s="6" t="str">
        <f t="shared" si="5"/>
        <v/>
      </c>
      <c r="H29" s="6" t="str">
        <f t="shared" si="5"/>
        <v/>
      </c>
      <c r="I29" s="4" t="str">
        <f t="shared" si="3"/>
        <v/>
      </c>
    </row>
    <row r="30" spans="1:9" ht="22.8" x14ac:dyDescent="0.4">
      <c r="A30" s="21" t="str">
        <f t="shared" si="1"/>
        <v/>
      </c>
      <c r="B30" s="10" t="str">
        <f t="shared" si="4"/>
        <v/>
      </c>
      <c r="C30" s="11"/>
      <c r="D30" s="6" t="str">
        <f t="shared" si="5"/>
        <v/>
      </c>
      <c r="E30" s="6" t="str">
        <f t="shared" si="5"/>
        <v/>
      </c>
      <c r="F30" s="6" t="str">
        <f t="shared" si="5"/>
        <v/>
      </c>
      <c r="G30" s="6" t="str">
        <f t="shared" si="5"/>
        <v/>
      </c>
      <c r="H30" s="6" t="str">
        <f t="shared" si="5"/>
        <v/>
      </c>
      <c r="I30" s="4" t="str">
        <f t="shared" si="3"/>
        <v/>
      </c>
    </row>
    <row r="31" spans="1:9" ht="22.8" x14ac:dyDescent="0.4">
      <c r="A31" s="21" t="str">
        <f t="shared" si="1"/>
        <v/>
      </c>
      <c r="B31" s="10" t="str">
        <f t="shared" si="4"/>
        <v/>
      </c>
      <c r="C31" s="11"/>
      <c r="D31" s="6" t="str">
        <f t="shared" si="5"/>
        <v/>
      </c>
      <c r="E31" s="6" t="str">
        <f t="shared" si="5"/>
        <v/>
      </c>
      <c r="F31" s="6" t="str">
        <f t="shared" si="5"/>
        <v/>
      </c>
      <c r="G31" s="6" t="str">
        <f t="shared" si="5"/>
        <v/>
      </c>
      <c r="H31" s="6" t="str">
        <f t="shared" si="5"/>
        <v/>
      </c>
      <c r="I31" s="4" t="str">
        <f t="shared" si="3"/>
        <v/>
      </c>
    </row>
    <row r="32" spans="1:9" ht="22.8" x14ac:dyDescent="0.4">
      <c r="A32" s="21" t="str">
        <f t="shared" si="1"/>
        <v/>
      </c>
      <c r="B32" s="10" t="str">
        <f t="shared" si="4"/>
        <v/>
      </c>
      <c r="C32" s="11"/>
      <c r="D32" s="6" t="str">
        <f t="shared" si="5"/>
        <v/>
      </c>
      <c r="E32" s="6" t="str">
        <f t="shared" si="5"/>
        <v/>
      </c>
      <c r="F32" s="6" t="str">
        <f t="shared" si="5"/>
        <v/>
      </c>
      <c r="G32" s="6" t="str">
        <f t="shared" si="5"/>
        <v/>
      </c>
      <c r="H32" s="6" t="str">
        <f t="shared" si="5"/>
        <v/>
      </c>
      <c r="I32" s="4" t="str">
        <f t="shared" si="3"/>
        <v/>
      </c>
    </row>
    <row r="33" spans="1:9" ht="22.8" x14ac:dyDescent="0.4">
      <c r="A33" s="21" t="str">
        <f t="shared" si="1"/>
        <v/>
      </c>
      <c r="B33" s="10" t="str">
        <f t="shared" si="4"/>
        <v/>
      </c>
      <c r="C33" s="11"/>
      <c r="D33" s="6" t="str">
        <f t="shared" si="5"/>
        <v/>
      </c>
      <c r="E33" s="6" t="str">
        <f t="shared" si="5"/>
        <v/>
      </c>
      <c r="F33" s="6" t="str">
        <f t="shared" si="5"/>
        <v/>
      </c>
      <c r="G33" s="6" t="str">
        <f t="shared" si="5"/>
        <v/>
      </c>
      <c r="H33" s="6" t="str">
        <f t="shared" si="5"/>
        <v/>
      </c>
      <c r="I33" s="4" t="str">
        <f t="shared" si="3"/>
        <v/>
      </c>
    </row>
    <row r="34" spans="1:9" ht="22.8" x14ac:dyDescent="0.4">
      <c r="A34" s="21" t="str">
        <f t="shared" si="1"/>
        <v/>
      </c>
      <c r="B34" s="10" t="str">
        <f t="shared" si="4"/>
        <v/>
      </c>
      <c r="C34" s="11"/>
      <c r="D34" s="6" t="str">
        <f t="shared" si="5"/>
        <v/>
      </c>
      <c r="E34" s="6" t="str">
        <f t="shared" si="5"/>
        <v/>
      </c>
      <c r="F34" s="6" t="str">
        <f t="shared" si="5"/>
        <v/>
      </c>
      <c r="G34" s="6" t="str">
        <f t="shared" si="5"/>
        <v/>
      </c>
      <c r="H34" s="6" t="str">
        <f t="shared" si="5"/>
        <v/>
      </c>
      <c r="I34" s="4" t="str">
        <f t="shared" si="3"/>
        <v/>
      </c>
    </row>
    <row r="35" spans="1:9" ht="22.8" x14ac:dyDescent="0.4">
      <c r="A35" s="21" t="str">
        <f t="shared" si="1"/>
        <v/>
      </c>
      <c r="B35" s="10" t="str">
        <f t="shared" si="4"/>
        <v/>
      </c>
      <c r="C35" s="11"/>
      <c r="D35" s="6" t="str">
        <f t="shared" si="5"/>
        <v/>
      </c>
      <c r="E35" s="6" t="str">
        <f t="shared" si="5"/>
        <v/>
      </c>
      <c r="F35" s="6" t="str">
        <f t="shared" si="5"/>
        <v/>
      </c>
      <c r="G35" s="6" t="str">
        <f t="shared" si="5"/>
        <v/>
      </c>
      <c r="H35" s="6" t="str">
        <f t="shared" si="5"/>
        <v/>
      </c>
      <c r="I35" s="4" t="str">
        <f t="shared" si="3"/>
        <v/>
      </c>
    </row>
    <row r="36" spans="1:9" ht="22.8" x14ac:dyDescent="0.4">
      <c r="A36" s="21" t="str">
        <f t="shared" si="1"/>
        <v/>
      </c>
      <c r="B36" s="10" t="str">
        <f t="shared" si="4"/>
        <v/>
      </c>
      <c r="C36" s="11"/>
      <c r="D36" s="6" t="str">
        <f t="shared" si="5"/>
        <v/>
      </c>
      <c r="E36" s="6" t="str">
        <f t="shared" si="5"/>
        <v/>
      </c>
      <c r="F36" s="6" t="str">
        <f t="shared" si="5"/>
        <v/>
      </c>
      <c r="G36" s="6" t="str">
        <f t="shared" si="5"/>
        <v/>
      </c>
      <c r="H36" s="6" t="str">
        <f t="shared" si="5"/>
        <v/>
      </c>
      <c r="I36" s="4" t="str">
        <f t="shared" si="3"/>
        <v/>
      </c>
    </row>
    <row r="37" spans="1:9" ht="22.8" x14ac:dyDescent="0.4">
      <c r="A37" s="21" t="str">
        <f t="shared" si="1"/>
        <v/>
      </c>
      <c r="B37" s="10" t="str">
        <f t="shared" si="4"/>
        <v/>
      </c>
      <c r="C37" s="11"/>
      <c r="D37" s="6" t="str">
        <f t="shared" si="5"/>
        <v/>
      </c>
      <c r="E37" s="6" t="str">
        <f t="shared" si="5"/>
        <v/>
      </c>
      <c r="F37" s="6" t="str">
        <f t="shared" si="5"/>
        <v/>
      </c>
      <c r="G37" s="6" t="str">
        <f t="shared" si="5"/>
        <v/>
      </c>
      <c r="H37" s="6" t="str">
        <f t="shared" si="5"/>
        <v/>
      </c>
      <c r="I37" s="4" t="str">
        <f t="shared" si="3"/>
        <v/>
      </c>
    </row>
    <row r="38" spans="1:9" ht="22.8" x14ac:dyDescent="0.4">
      <c r="A38" s="21" t="str">
        <f t="shared" si="1"/>
        <v/>
      </c>
      <c r="B38" s="10" t="str">
        <f t="shared" si="4"/>
        <v/>
      </c>
      <c r="C38" s="11"/>
      <c r="D38" s="6" t="str">
        <f t="shared" si="5"/>
        <v/>
      </c>
      <c r="E38" s="6" t="str">
        <f t="shared" si="5"/>
        <v/>
      </c>
      <c r="F38" s="6" t="str">
        <f t="shared" si="5"/>
        <v/>
      </c>
      <c r="G38" s="6" t="str">
        <f t="shared" si="5"/>
        <v/>
      </c>
      <c r="H38" s="6" t="str">
        <f t="shared" si="5"/>
        <v/>
      </c>
      <c r="I38" s="4" t="str">
        <f t="shared" si="3"/>
        <v/>
      </c>
    </row>
    <row r="39" spans="1:9" ht="22.8" x14ac:dyDescent="0.4">
      <c r="A39" s="21" t="str">
        <f t="shared" si="1"/>
        <v/>
      </c>
      <c r="B39" s="10" t="str">
        <f t="shared" si="4"/>
        <v/>
      </c>
      <c r="C39" s="11"/>
      <c r="D39" s="6" t="str">
        <f t="shared" si="5"/>
        <v/>
      </c>
      <c r="E39" s="6" t="str">
        <f t="shared" si="5"/>
        <v/>
      </c>
      <c r="F39" s="6" t="str">
        <f t="shared" si="5"/>
        <v/>
      </c>
      <c r="G39" s="6" t="str">
        <f t="shared" si="5"/>
        <v/>
      </c>
      <c r="H39" s="6" t="str">
        <f t="shared" si="5"/>
        <v/>
      </c>
      <c r="I39" s="4" t="str">
        <f t="shared" si="3"/>
        <v/>
      </c>
    </row>
    <row r="40" spans="1:9" ht="22.8" x14ac:dyDescent="0.4">
      <c r="A40" s="21" t="str">
        <f t="shared" si="1"/>
        <v/>
      </c>
      <c r="B40" s="10" t="str">
        <f t="shared" si="4"/>
        <v/>
      </c>
      <c r="C40" s="11"/>
      <c r="D40" s="6" t="str">
        <f t="shared" si="5"/>
        <v/>
      </c>
      <c r="E40" s="6" t="str">
        <f t="shared" si="5"/>
        <v/>
      </c>
      <c r="F40" s="6" t="str">
        <f t="shared" si="5"/>
        <v/>
      </c>
      <c r="G40" s="6" t="str">
        <f t="shared" si="5"/>
        <v/>
      </c>
      <c r="H40" s="6" t="str">
        <f t="shared" si="5"/>
        <v/>
      </c>
      <c r="I40" s="4" t="str">
        <f t="shared" si="3"/>
        <v/>
      </c>
    </row>
    <row r="41" spans="1:9" ht="22.8" x14ac:dyDescent="0.4">
      <c r="A41" s="21" t="str">
        <f t="shared" si="1"/>
        <v/>
      </c>
      <c r="B41" s="10" t="str">
        <f t="shared" si="4"/>
        <v/>
      </c>
      <c r="C41" s="11"/>
      <c r="D41" s="6" t="str">
        <f t="shared" si="5"/>
        <v/>
      </c>
      <c r="E41" s="6" t="str">
        <f t="shared" si="5"/>
        <v/>
      </c>
      <c r="F41" s="6" t="str">
        <f t="shared" si="5"/>
        <v/>
      </c>
      <c r="G41" s="6" t="str">
        <f t="shared" si="5"/>
        <v/>
      </c>
      <c r="H41" s="6" t="str">
        <f t="shared" si="5"/>
        <v/>
      </c>
      <c r="I41" s="4" t="str">
        <f t="shared" si="3"/>
        <v/>
      </c>
    </row>
    <row r="42" spans="1:9" ht="22.8" x14ac:dyDescent="0.4">
      <c r="A42" s="21" t="str">
        <f t="shared" si="1"/>
        <v/>
      </c>
      <c r="B42" s="10" t="str">
        <f t="shared" si="4"/>
        <v/>
      </c>
      <c r="C42" s="11"/>
      <c r="D42" s="6" t="str">
        <f t="shared" si="5"/>
        <v/>
      </c>
      <c r="E42" s="6" t="str">
        <f t="shared" si="5"/>
        <v/>
      </c>
      <c r="F42" s="6" t="str">
        <f t="shared" si="5"/>
        <v/>
      </c>
      <c r="G42" s="6" t="str">
        <f t="shared" si="5"/>
        <v/>
      </c>
      <c r="H42" s="6" t="str">
        <f t="shared" si="5"/>
        <v/>
      </c>
      <c r="I42" s="4" t="str">
        <f t="shared" si="3"/>
        <v/>
      </c>
    </row>
    <row r="43" spans="1:9" ht="22.8" x14ac:dyDescent="0.4">
      <c r="A43" s="21" t="str">
        <f t="shared" si="1"/>
        <v/>
      </c>
      <c r="B43" s="10" t="str">
        <f t="shared" si="4"/>
        <v/>
      </c>
      <c r="C43" s="11"/>
      <c r="D43" s="6" t="str">
        <f t="shared" ref="D43:H58" si="6">IF($C43="","","Description of "&amp;$C43&amp;" at a level of "&amp;D$6)</f>
        <v/>
      </c>
      <c r="E43" s="6" t="str">
        <f t="shared" si="6"/>
        <v/>
      </c>
      <c r="F43" s="6" t="str">
        <f t="shared" si="6"/>
        <v/>
      </c>
      <c r="G43" s="6" t="str">
        <f t="shared" si="6"/>
        <v/>
      </c>
      <c r="H43" s="6" t="str">
        <f t="shared" si="6"/>
        <v/>
      </c>
      <c r="I43" s="4" t="str">
        <f t="shared" si="3"/>
        <v/>
      </c>
    </row>
    <row r="44" spans="1:9" ht="22.8" x14ac:dyDescent="0.4">
      <c r="A44" s="21" t="str">
        <f t="shared" si="1"/>
        <v/>
      </c>
      <c r="B44" s="10" t="str">
        <f t="shared" si="4"/>
        <v/>
      </c>
      <c r="C44" s="11"/>
      <c r="D44" s="6" t="str">
        <f t="shared" si="6"/>
        <v/>
      </c>
      <c r="E44" s="6" t="str">
        <f t="shared" si="6"/>
        <v/>
      </c>
      <c r="F44" s="6" t="str">
        <f t="shared" si="6"/>
        <v/>
      </c>
      <c r="G44" s="6" t="str">
        <f t="shared" si="6"/>
        <v/>
      </c>
      <c r="H44" s="6" t="str">
        <f t="shared" si="6"/>
        <v/>
      </c>
      <c r="I44" s="4" t="str">
        <f t="shared" si="3"/>
        <v/>
      </c>
    </row>
    <row r="45" spans="1:9" ht="22.8" x14ac:dyDescent="0.4">
      <c r="A45" s="21" t="str">
        <f t="shared" si="1"/>
        <v/>
      </c>
      <c r="B45" s="10" t="str">
        <f t="shared" si="4"/>
        <v/>
      </c>
      <c r="C45" s="11"/>
      <c r="D45" s="6" t="str">
        <f t="shared" si="6"/>
        <v/>
      </c>
      <c r="E45" s="6" t="str">
        <f t="shared" si="6"/>
        <v/>
      </c>
      <c r="F45" s="6" t="str">
        <f t="shared" si="6"/>
        <v/>
      </c>
      <c r="G45" s="6" t="str">
        <f t="shared" si="6"/>
        <v/>
      </c>
      <c r="H45" s="6" t="str">
        <f t="shared" si="6"/>
        <v/>
      </c>
      <c r="I45" s="4" t="str">
        <f t="shared" si="3"/>
        <v/>
      </c>
    </row>
    <row r="46" spans="1:9" ht="22.8" x14ac:dyDescent="0.4">
      <c r="A46" s="21" t="str">
        <f t="shared" si="1"/>
        <v/>
      </c>
      <c r="B46" s="10" t="str">
        <f t="shared" si="4"/>
        <v/>
      </c>
      <c r="C46" s="11"/>
      <c r="D46" s="6" t="str">
        <f t="shared" si="6"/>
        <v/>
      </c>
      <c r="E46" s="6" t="str">
        <f t="shared" si="6"/>
        <v/>
      </c>
      <c r="F46" s="6" t="str">
        <f t="shared" si="6"/>
        <v/>
      </c>
      <c r="G46" s="6" t="str">
        <f t="shared" si="6"/>
        <v/>
      </c>
      <c r="H46" s="6" t="str">
        <f t="shared" si="6"/>
        <v/>
      </c>
      <c r="I46" s="4" t="str">
        <f t="shared" si="3"/>
        <v/>
      </c>
    </row>
    <row r="47" spans="1:9" ht="22.8" x14ac:dyDescent="0.4">
      <c r="A47" s="21" t="str">
        <f t="shared" si="1"/>
        <v/>
      </c>
      <c r="B47" s="10" t="str">
        <f t="shared" si="4"/>
        <v/>
      </c>
      <c r="C47" s="11"/>
      <c r="D47" s="6" t="str">
        <f t="shared" si="6"/>
        <v/>
      </c>
      <c r="E47" s="6" t="str">
        <f t="shared" si="6"/>
        <v/>
      </c>
      <c r="F47" s="6" t="str">
        <f t="shared" si="6"/>
        <v/>
      </c>
      <c r="G47" s="6" t="str">
        <f t="shared" si="6"/>
        <v/>
      </c>
      <c r="H47" s="6" t="str">
        <f t="shared" si="6"/>
        <v/>
      </c>
      <c r="I47" s="4" t="str">
        <f t="shared" si="3"/>
        <v/>
      </c>
    </row>
    <row r="48" spans="1:9" ht="22.8" x14ac:dyDescent="0.4">
      <c r="A48" s="21" t="str">
        <f t="shared" si="1"/>
        <v/>
      </c>
      <c r="B48" s="10" t="str">
        <f t="shared" si="4"/>
        <v/>
      </c>
      <c r="C48" s="11"/>
      <c r="D48" s="6" t="str">
        <f t="shared" si="6"/>
        <v/>
      </c>
      <c r="E48" s="6" t="str">
        <f t="shared" si="6"/>
        <v/>
      </c>
      <c r="F48" s="6" t="str">
        <f t="shared" si="6"/>
        <v/>
      </c>
      <c r="G48" s="6" t="str">
        <f t="shared" si="6"/>
        <v/>
      </c>
      <c r="H48" s="6" t="str">
        <f t="shared" si="6"/>
        <v/>
      </c>
      <c r="I48" s="4" t="str">
        <f t="shared" si="3"/>
        <v/>
      </c>
    </row>
    <row r="49" spans="1:9" ht="22.8" x14ac:dyDescent="0.4">
      <c r="A49" s="21" t="str">
        <f t="shared" si="1"/>
        <v/>
      </c>
      <c r="B49" s="10" t="str">
        <f t="shared" si="4"/>
        <v/>
      </c>
      <c r="C49" s="11"/>
      <c r="D49" s="6" t="str">
        <f t="shared" si="6"/>
        <v/>
      </c>
      <c r="E49" s="6" t="str">
        <f t="shared" si="6"/>
        <v/>
      </c>
      <c r="F49" s="6" t="str">
        <f t="shared" si="6"/>
        <v/>
      </c>
      <c r="G49" s="6" t="str">
        <f t="shared" si="6"/>
        <v/>
      </c>
      <c r="H49" s="6" t="str">
        <f t="shared" si="6"/>
        <v/>
      </c>
      <c r="I49" s="4" t="str">
        <f t="shared" si="3"/>
        <v/>
      </c>
    </row>
    <row r="50" spans="1:9" ht="22.8" x14ac:dyDescent="0.4">
      <c r="A50" s="21" t="str">
        <f t="shared" si="1"/>
        <v/>
      </c>
      <c r="B50" s="10" t="str">
        <f t="shared" si="4"/>
        <v/>
      </c>
      <c r="C50" s="11"/>
      <c r="D50" s="6" t="str">
        <f t="shared" si="6"/>
        <v/>
      </c>
      <c r="E50" s="6" t="str">
        <f t="shared" si="6"/>
        <v/>
      </c>
      <c r="F50" s="6" t="str">
        <f t="shared" si="6"/>
        <v/>
      </c>
      <c r="G50" s="6" t="str">
        <f t="shared" si="6"/>
        <v/>
      </c>
      <c r="H50" s="6" t="str">
        <f t="shared" si="6"/>
        <v/>
      </c>
      <c r="I50" s="4" t="str">
        <f t="shared" si="3"/>
        <v/>
      </c>
    </row>
    <row r="51" spans="1:9" ht="22.8" x14ac:dyDescent="0.4">
      <c r="A51" s="21" t="str">
        <f t="shared" si="1"/>
        <v/>
      </c>
      <c r="B51" s="10" t="str">
        <f t="shared" si="4"/>
        <v/>
      </c>
      <c r="C51" s="11"/>
      <c r="D51" s="6" t="str">
        <f t="shared" si="6"/>
        <v/>
      </c>
      <c r="E51" s="6" t="str">
        <f t="shared" si="6"/>
        <v/>
      </c>
      <c r="F51" s="6" t="str">
        <f t="shared" si="6"/>
        <v/>
      </c>
      <c r="G51" s="6" t="str">
        <f t="shared" si="6"/>
        <v/>
      </c>
      <c r="H51" s="6" t="str">
        <f t="shared" si="6"/>
        <v/>
      </c>
      <c r="I51" s="4" t="str">
        <f t="shared" si="3"/>
        <v/>
      </c>
    </row>
    <row r="52" spans="1:9" ht="22.8" x14ac:dyDescent="0.4">
      <c r="A52" s="21" t="str">
        <f t="shared" si="1"/>
        <v/>
      </c>
      <c r="B52" s="10" t="str">
        <f t="shared" si="4"/>
        <v/>
      </c>
      <c r="C52" s="11"/>
      <c r="D52" s="6" t="str">
        <f t="shared" si="6"/>
        <v/>
      </c>
      <c r="E52" s="6" t="str">
        <f t="shared" si="6"/>
        <v/>
      </c>
      <c r="F52" s="6" t="str">
        <f t="shared" si="6"/>
        <v/>
      </c>
      <c r="G52" s="6" t="str">
        <f t="shared" si="6"/>
        <v/>
      </c>
      <c r="H52" s="6" t="str">
        <f t="shared" si="6"/>
        <v/>
      </c>
      <c r="I52" s="4" t="str">
        <f t="shared" si="3"/>
        <v/>
      </c>
    </row>
    <row r="53" spans="1:9" ht="22.8" x14ac:dyDescent="0.4">
      <c r="A53" s="21" t="str">
        <f t="shared" si="1"/>
        <v/>
      </c>
      <c r="B53" s="10" t="str">
        <f t="shared" si="4"/>
        <v/>
      </c>
      <c r="C53" s="11"/>
      <c r="D53" s="6" t="str">
        <f t="shared" si="6"/>
        <v/>
      </c>
      <c r="E53" s="6" t="str">
        <f t="shared" si="6"/>
        <v/>
      </c>
      <c r="F53" s="6" t="str">
        <f t="shared" si="6"/>
        <v/>
      </c>
      <c r="G53" s="6" t="str">
        <f t="shared" si="6"/>
        <v/>
      </c>
      <c r="H53" s="6" t="str">
        <f t="shared" si="6"/>
        <v/>
      </c>
      <c r="I53" s="4" t="str">
        <f t="shared" si="3"/>
        <v/>
      </c>
    </row>
    <row r="54" spans="1:9" ht="22.8" x14ac:dyDescent="0.4">
      <c r="A54" s="21" t="str">
        <f t="shared" si="1"/>
        <v/>
      </c>
      <c r="B54" s="10" t="str">
        <f t="shared" si="4"/>
        <v/>
      </c>
      <c r="C54" s="11"/>
      <c r="D54" s="6" t="str">
        <f t="shared" si="6"/>
        <v/>
      </c>
      <c r="E54" s="6" t="str">
        <f t="shared" si="6"/>
        <v/>
      </c>
      <c r="F54" s="6" t="str">
        <f t="shared" si="6"/>
        <v/>
      </c>
      <c r="G54" s="6" t="str">
        <f t="shared" si="6"/>
        <v/>
      </c>
      <c r="H54" s="6" t="str">
        <f t="shared" si="6"/>
        <v/>
      </c>
      <c r="I54" s="4" t="str">
        <f t="shared" si="3"/>
        <v/>
      </c>
    </row>
    <row r="55" spans="1:9" ht="22.8" x14ac:dyDescent="0.4">
      <c r="A55" s="21" t="str">
        <f t="shared" si="1"/>
        <v/>
      </c>
      <c r="B55" s="10" t="str">
        <f t="shared" si="4"/>
        <v/>
      </c>
      <c r="C55" s="11"/>
      <c r="D55" s="6" t="str">
        <f t="shared" si="6"/>
        <v/>
      </c>
      <c r="E55" s="6" t="str">
        <f t="shared" si="6"/>
        <v/>
      </c>
      <c r="F55" s="6" t="str">
        <f t="shared" si="6"/>
        <v/>
      </c>
      <c r="G55" s="6" t="str">
        <f t="shared" si="6"/>
        <v/>
      </c>
      <c r="H55" s="6" t="str">
        <f t="shared" si="6"/>
        <v/>
      </c>
      <c r="I55" s="4" t="str">
        <f t="shared" si="3"/>
        <v/>
      </c>
    </row>
    <row r="56" spans="1:9" ht="22.8" x14ac:dyDescent="0.4">
      <c r="A56" s="21" t="str">
        <f t="shared" si="1"/>
        <v/>
      </c>
      <c r="B56" s="10" t="str">
        <f t="shared" si="4"/>
        <v/>
      </c>
      <c r="C56" s="11"/>
      <c r="D56" s="6" t="str">
        <f t="shared" si="6"/>
        <v/>
      </c>
      <c r="E56" s="6" t="str">
        <f t="shared" si="6"/>
        <v/>
      </c>
      <c r="F56" s="6" t="str">
        <f t="shared" si="6"/>
        <v/>
      </c>
      <c r="G56" s="6" t="str">
        <f t="shared" si="6"/>
        <v/>
      </c>
      <c r="H56" s="6" t="str">
        <f t="shared" si="6"/>
        <v/>
      </c>
      <c r="I56" s="4" t="str">
        <f t="shared" si="3"/>
        <v/>
      </c>
    </row>
    <row r="57" spans="1:9" ht="22.8" x14ac:dyDescent="0.4">
      <c r="A57" s="21" t="str">
        <f t="shared" si="1"/>
        <v/>
      </c>
      <c r="B57" s="10" t="str">
        <f t="shared" si="4"/>
        <v/>
      </c>
      <c r="C57" s="11"/>
      <c r="D57" s="6" t="str">
        <f t="shared" si="6"/>
        <v/>
      </c>
      <c r="E57" s="6" t="str">
        <f t="shared" si="6"/>
        <v/>
      </c>
      <c r="F57" s="6" t="str">
        <f t="shared" si="6"/>
        <v/>
      </c>
      <c r="G57" s="6" t="str">
        <f t="shared" si="6"/>
        <v/>
      </c>
      <c r="H57" s="6" t="str">
        <f t="shared" si="6"/>
        <v/>
      </c>
      <c r="I57" s="4" t="str">
        <f t="shared" si="3"/>
        <v/>
      </c>
    </row>
    <row r="58" spans="1:9" ht="22.8" x14ac:dyDescent="0.4">
      <c r="A58" s="21" t="str">
        <f t="shared" si="1"/>
        <v/>
      </c>
      <c r="B58" s="10" t="str">
        <f t="shared" si="4"/>
        <v/>
      </c>
      <c r="C58" s="11"/>
      <c r="D58" s="6" t="str">
        <f t="shared" si="6"/>
        <v/>
      </c>
      <c r="E58" s="6" t="str">
        <f t="shared" si="6"/>
        <v/>
      </c>
      <c r="F58" s="6" t="str">
        <f t="shared" si="6"/>
        <v/>
      </c>
      <c r="G58" s="6" t="str">
        <f t="shared" si="6"/>
        <v/>
      </c>
      <c r="H58" s="6" t="str">
        <f t="shared" si="6"/>
        <v/>
      </c>
      <c r="I58" s="4" t="str">
        <f t="shared" si="3"/>
        <v/>
      </c>
    </row>
    <row r="59" spans="1:9" ht="22.8" x14ac:dyDescent="0.4">
      <c r="A59" s="21" t="str">
        <f t="shared" si="1"/>
        <v/>
      </c>
      <c r="B59" s="10" t="str">
        <f t="shared" si="4"/>
        <v/>
      </c>
      <c r="C59" s="11"/>
      <c r="D59" s="6" t="str">
        <f t="shared" ref="D59:H74" si="7">IF($C59="","","Description of "&amp;$C59&amp;" at a level of "&amp;D$6)</f>
        <v/>
      </c>
      <c r="E59" s="6" t="str">
        <f t="shared" si="7"/>
        <v/>
      </c>
      <c r="F59" s="6" t="str">
        <f t="shared" si="7"/>
        <v/>
      </c>
      <c r="G59" s="6" t="str">
        <f t="shared" si="7"/>
        <v/>
      </c>
      <c r="H59" s="6" t="str">
        <f t="shared" si="7"/>
        <v/>
      </c>
      <c r="I59" s="4" t="str">
        <f t="shared" si="3"/>
        <v/>
      </c>
    </row>
    <row r="60" spans="1:9" ht="22.8" x14ac:dyDescent="0.4">
      <c r="A60" s="21" t="str">
        <f t="shared" si="1"/>
        <v/>
      </c>
      <c r="B60" s="10" t="str">
        <f t="shared" si="4"/>
        <v/>
      </c>
      <c r="C60" s="11"/>
      <c r="D60" s="6" t="str">
        <f t="shared" si="7"/>
        <v/>
      </c>
      <c r="E60" s="6" t="str">
        <f t="shared" si="7"/>
        <v/>
      </c>
      <c r="F60" s="6" t="str">
        <f t="shared" si="7"/>
        <v/>
      </c>
      <c r="G60" s="6" t="str">
        <f t="shared" si="7"/>
        <v/>
      </c>
      <c r="H60" s="6" t="str">
        <f t="shared" si="7"/>
        <v/>
      </c>
      <c r="I60" s="4" t="str">
        <f t="shared" si="3"/>
        <v/>
      </c>
    </row>
    <row r="61" spans="1:9" ht="22.8" x14ac:dyDescent="0.4">
      <c r="A61" s="21" t="str">
        <f t="shared" si="1"/>
        <v/>
      </c>
      <c r="B61" s="10" t="str">
        <f t="shared" si="4"/>
        <v/>
      </c>
      <c r="C61" s="11"/>
      <c r="D61" s="6" t="str">
        <f t="shared" si="7"/>
        <v/>
      </c>
      <c r="E61" s="6" t="str">
        <f t="shared" si="7"/>
        <v/>
      </c>
      <c r="F61" s="6" t="str">
        <f t="shared" si="7"/>
        <v/>
      </c>
      <c r="G61" s="6" t="str">
        <f t="shared" si="7"/>
        <v/>
      </c>
      <c r="H61" s="6" t="str">
        <f t="shared" si="7"/>
        <v/>
      </c>
      <c r="I61" s="4" t="str">
        <f t="shared" si="3"/>
        <v/>
      </c>
    </row>
    <row r="62" spans="1:9" ht="22.8" x14ac:dyDescent="0.4">
      <c r="A62" s="21" t="str">
        <f t="shared" si="1"/>
        <v/>
      </c>
      <c r="B62" s="10" t="str">
        <f t="shared" si="4"/>
        <v/>
      </c>
      <c r="C62" s="11"/>
      <c r="D62" s="6" t="str">
        <f t="shared" si="7"/>
        <v/>
      </c>
      <c r="E62" s="6" t="str">
        <f t="shared" si="7"/>
        <v/>
      </c>
      <c r="F62" s="6" t="str">
        <f t="shared" si="7"/>
        <v/>
      </c>
      <c r="G62" s="6" t="str">
        <f t="shared" si="7"/>
        <v/>
      </c>
      <c r="H62" s="6" t="str">
        <f t="shared" si="7"/>
        <v/>
      </c>
      <c r="I62" s="4" t="str">
        <f t="shared" si="3"/>
        <v/>
      </c>
    </row>
    <row r="63" spans="1:9" ht="22.8" x14ac:dyDescent="0.4">
      <c r="A63" s="21" t="str">
        <f t="shared" si="1"/>
        <v/>
      </c>
      <c r="B63" s="10" t="str">
        <f t="shared" si="4"/>
        <v/>
      </c>
      <c r="C63" s="11"/>
      <c r="D63" s="6" t="str">
        <f t="shared" si="7"/>
        <v/>
      </c>
      <c r="E63" s="6" t="str">
        <f t="shared" si="7"/>
        <v/>
      </c>
      <c r="F63" s="6" t="str">
        <f t="shared" si="7"/>
        <v/>
      </c>
      <c r="G63" s="6" t="str">
        <f t="shared" si="7"/>
        <v/>
      </c>
      <c r="H63" s="6" t="str">
        <f t="shared" si="7"/>
        <v/>
      </c>
      <c r="I63" s="4" t="str">
        <f t="shared" si="3"/>
        <v/>
      </c>
    </row>
    <row r="64" spans="1:9" ht="22.8" x14ac:dyDescent="0.4">
      <c r="A64" s="21" t="str">
        <f t="shared" si="1"/>
        <v/>
      </c>
      <c r="B64" s="10" t="str">
        <f t="shared" si="4"/>
        <v/>
      </c>
      <c r="C64" s="11"/>
      <c r="D64" s="6" t="str">
        <f t="shared" si="7"/>
        <v/>
      </c>
      <c r="E64" s="6" t="str">
        <f t="shared" si="7"/>
        <v/>
      </c>
      <c r="F64" s="6" t="str">
        <f t="shared" si="7"/>
        <v/>
      </c>
      <c r="G64" s="6" t="str">
        <f t="shared" si="7"/>
        <v/>
      </c>
      <c r="H64" s="6" t="str">
        <f t="shared" si="7"/>
        <v/>
      </c>
      <c r="I64" s="4" t="str">
        <f t="shared" si="3"/>
        <v/>
      </c>
    </row>
    <row r="65" spans="1:9" ht="22.8" x14ac:dyDescent="0.4">
      <c r="A65" s="21" t="str">
        <f t="shared" si="1"/>
        <v/>
      </c>
      <c r="B65" s="10" t="str">
        <f t="shared" si="4"/>
        <v/>
      </c>
      <c r="C65" s="11"/>
      <c r="D65" s="6" t="str">
        <f t="shared" si="7"/>
        <v/>
      </c>
      <c r="E65" s="6" t="str">
        <f t="shared" si="7"/>
        <v/>
      </c>
      <c r="F65" s="6" t="str">
        <f t="shared" si="7"/>
        <v/>
      </c>
      <c r="G65" s="6" t="str">
        <f t="shared" si="7"/>
        <v/>
      </c>
      <c r="H65" s="6" t="str">
        <f t="shared" si="7"/>
        <v/>
      </c>
      <c r="I65" s="4" t="str">
        <f t="shared" si="3"/>
        <v/>
      </c>
    </row>
    <row r="66" spans="1:9" ht="22.8" x14ac:dyDescent="0.4">
      <c r="A66" s="21" t="str">
        <f t="shared" si="1"/>
        <v/>
      </c>
      <c r="B66" s="10" t="str">
        <f t="shared" si="4"/>
        <v/>
      </c>
      <c r="C66" s="11"/>
      <c r="D66" s="6" t="str">
        <f t="shared" si="7"/>
        <v/>
      </c>
      <c r="E66" s="6" t="str">
        <f t="shared" si="7"/>
        <v/>
      </c>
      <c r="F66" s="6" t="str">
        <f t="shared" si="7"/>
        <v/>
      </c>
      <c r="G66" s="6" t="str">
        <f t="shared" si="7"/>
        <v/>
      </c>
      <c r="H66" s="6" t="str">
        <f t="shared" si="7"/>
        <v/>
      </c>
      <c r="I66" s="4" t="str">
        <f t="shared" si="3"/>
        <v/>
      </c>
    </row>
    <row r="67" spans="1:9" ht="22.8" x14ac:dyDescent="0.4">
      <c r="A67" s="21" t="str">
        <f t="shared" si="1"/>
        <v/>
      </c>
      <c r="B67" s="10" t="str">
        <f t="shared" si="4"/>
        <v/>
      </c>
      <c r="C67" s="11"/>
      <c r="D67" s="6" t="str">
        <f t="shared" si="7"/>
        <v/>
      </c>
      <c r="E67" s="6" t="str">
        <f t="shared" si="7"/>
        <v/>
      </c>
      <c r="F67" s="6" t="str">
        <f t="shared" si="7"/>
        <v/>
      </c>
      <c r="G67" s="6" t="str">
        <f t="shared" si="7"/>
        <v/>
      </c>
      <c r="H67" s="6" t="str">
        <f t="shared" si="7"/>
        <v/>
      </c>
      <c r="I67" s="4" t="str">
        <f t="shared" si="3"/>
        <v/>
      </c>
    </row>
    <row r="68" spans="1:9" ht="22.8" x14ac:dyDescent="0.4">
      <c r="A68" s="21" t="str">
        <f t="shared" si="1"/>
        <v/>
      </c>
      <c r="B68" s="10" t="str">
        <f t="shared" si="4"/>
        <v/>
      </c>
      <c r="C68" s="11"/>
      <c r="D68" s="6" t="str">
        <f t="shared" si="7"/>
        <v/>
      </c>
      <c r="E68" s="6" t="str">
        <f t="shared" si="7"/>
        <v/>
      </c>
      <c r="F68" s="6" t="str">
        <f t="shared" si="7"/>
        <v/>
      </c>
      <c r="G68" s="6" t="str">
        <f t="shared" si="7"/>
        <v/>
      </c>
      <c r="H68" s="6" t="str">
        <f t="shared" si="7"/>
        <v/>
      </c>
      <c r="I68" s="4" t="str">
        <f t="shared" si="3"/>
        <v/>
      </c>
    </row>
    <row r="69" spans="1:9" ht="22.8" x14ac:dyDescent="0.4">
      <c r="A69" s="21" t="str">
        <f t="shared" si="1"/>
        <v/>
      </c>
      <c r="B69" s="10" t="str">
        <f t="shared" si="4"/>
        <v/>
      </c>
      <c r="C69" s="11"/>
      <c r="D69" s="6" t="str">
        <f t="shared" si="7"/>
        <v/>
      </c>
      <c r="E69" s="6" t="str">
        <f t="shared" si="7"/>
        <v/>
      </c>
      <c r="F69" s="6" t="str">
        <f t="shared" si="7"/>
        <v/>
      </c>
      <c r="G69" s="6" t="str">
        <f t="shared" si="7"/>
        <v/>
      </c>
      <c r="H69" s="6" t="str">
        <f t="shared" si="7"/>
        <v/>
      </c>
      <c r="I69" s="4" t="str">
        <f t="shared" si="3"/>
        <v/>
      </c>
    </row>
    <row r="70" spans="1:9" ht="22.8" x14ac:dyDescent="0.4">
      <c r="A70" s="21" t="str">
        <f t="shared" si="1"/>
        <v/>
      </c>
      <c r="B70" s="10" t="str">
        <f t="shared" si="4"/>
        <v/>
      </c>
      <c r="C70" s="11"/>
      <c r="D70" s="6" t="str">
        <f t="shared" si="7"/>
        <v/>
      </c>
      <c r="E70" s="6" t="str">
        <f t="shared" si="7"/>
        <v/>
      </c>
      <c r="F70" s="6" t="str">
        <f t="shared" si="7"/>
        <v/>
      </c>
      <c r="G70" s="6" t="str">
        <f t="shared" si="7"/>
        <v/>
      </c>
      <c r="H70" s="6" t="str">
        <f t="shared" si="7"/>
        <v/>
      </c>
      <c r="I70" s="4" t="str">
        <f t="shared" si="3"/>
        <v/>
      </c>
    </row>
    <row r="71" spans="1:9" ht="22.8" x14ac:dyDescent="0.4">
      <c r="A71" s="21" t="str">
        <f t="shared" si="1"/>
        <v/>
      </c>
      <c r="B71" s="10" t="str">
        <f t="shared" si="4"/>
        <v/>
      </c>
      <c r="C71" s="11"/>
      <c r="D71" s="6" t="str">
        <f t="shared" si="7"/>
        <v/>
      </c>
      <c r="E71" s="6" t="str">
        <f t="shared" si="7"/>
        <v/>
      </c>
      <c r="F71" s="6" t="str">
        <f t="shared" si="7"/>
        <v/>
      </c>
      <c r="G71" s="6" t="str">
        <f t="shared" si="7"/>
        <v/>
      </c>
      <c r="H71" s="6" t="str">
        <f t="shared" si="7"/>
        <v/>
      </c>
      <c r="I71" s="4" t="str">
        <f t="shared" si="3"/>
        <v/>
      </c>
    </row>
    <row r="72" spans="1:9" ht="22.8" x14ac:dyDescent="0.4">
      <c r="A72" s="21" t="str">
        <f t="shared" si="1"/>
        <v/>
      </c>
      <c r="B72" s="10" t="str">
        <f t="shared" si="4"/>
        <v/>
      </c>
      <c r="C72" s="11"/>
      <c r="D72" s="6" t="str">
        <f t="shared" si="7"/>
        <v/>
      </c>
      <c r="E72" s="6" t="str">
        <f t="shared" si="7"/>
        <v/>
      </c>
      <c r="F72" s="6" t="str">
        <f t="shared" si="7"/>
        <v/>
      </c>
      <c r="G72" s="6" t="str">
        <f t="shared" si="7"/>
        <v/>
      </c>
      <c r="H72" s="6" t="str">
        <f t="shared" si="7"/>
        <v/>
      </c>
      <c r="I72" s="4" t="str">
        <f t="shared" si="3"/>
        <v/>
      </c>
    </row>
    <row r="73" spans="1:9" ht="22.8" x14ac:dyDescent="0.4">
      <c r="A73" s="21" t="str">
        <f t="shared" si="1"/>
        <v/>
      </c>
      <c r="B73" s="10" t="str">
        <f t="shared" si="4"/>
        <v/>
      </c>
      <c r="C73" s="11"/>
      <c r="D73" s="6" t="str">
        <f t="shared" si="7"/>
        <v/>
      </c>
      <c r="E73" s="6" t="str">
        <f t="shared" si="7"/>
        <v/>
      </c>
      <c r="F73" s="6" t="str">
        <f t="shared" si="7"/>
        <v/>
      </c>
      <c r="G73" s="6" t="str">
        <f t="shared" si="7"/>
        <v/>
      </c>
      <c r="H73" s="6" t="str">
        <f t="shared" si="7"/>
        <v/>
      </c>
      <c r="I73" s="4" t="str">
        <f t="shared" si="3"/>
        <v/>
      </c>
    </row>
    <row r="74" spans="1:9" ht="22.8" x14ac:dyDescent="0.4">
      <c r="A74" s="21" t="str">
        <f t="shared" si="1"/>
        <v/>
      </c>
      <c r="B74" s="10" t="str">
        <f t="shared" si="4"/>
        <v/>
      </c>
      <c r="C74" s="11"/>
      <c r="D74" s="6" t="str">
        <f t="shared" si="7"/>
        <v/>
      </c>
      <c r="E74" s="6" t="str">
        <f t="shared" si="7"/>
        <v/>
      </c>
      <c r="F74" s="6" t="str">
        <f t="shared" si="7"/>
        <v/>
      </c>
      <c r="G74" s="6" t="str">
        <f t="shared" si="7"/>
        <v/>
      </c>
      <c r="H74" s="6" t="str">
        <f t="shared" si="7"/>
        <v/>
      </c>
      <c r="I74" s="4" t="str">
        <f t="shared" si="3"/>
        <v/>
      </c>
    </row>
    <row r="75" spans="1:9" ht="22.8" x14ac:dyDescent="0.4">
      <c r="A75" s="21" t="str">
        <f t="shared" si="1"/>
        <v/>
      </c>
      <c r="B75" s="10" t="str">
        <f t="shared" si="4"/>
        <v/>
      </c>
      <c r="C75" s="11"/>
      <c r="D75" s="6" t="str">
        <f t="shared" ref="D75:H90" si="8">IF($C75="","","Description of "&amp;$C75&amp;" at a level of "&amp;D$6)</f>
        <v/>
      </c>
      <c r="E75" s="6" t="str">
        <f t="shared" si="8"/>
        <v/>
      </c>
      <c r="F75" s="6" t="str">
        <f t="shared" si="8"/>
        <v/>
      </c>
      <c r="G75" s="6" t="str">
        <f t="shared" si="8"/>
        <v/>
      </c>
      <c r="H75" s="6" t="str">
        <f t="shared" si="8"/>
        <v/>
      </c>
      <c r="I75" s="4" t="str">
        <f t="shared" si="3"/>
        <v/>
      </c>
    </row>
    <row r="76" spans="1:9" ht="22.8" x14ac:dyDescent="0.4">
      <c r="A76" s="21" t="str">
        <f t="shared" si="1"/>
        <v/>
      </c>
      <c r="B76" s="10" t="str">
        <f t="shared" si="4"/>
        <v/>
      </c>
      <c r="C76" s="11"/>
      <c r="D76" s="6" t="str">
        <f t="shared" si="8"/>
        <v/>
      </c>
      <c r="E76" s="6" t="str">
        <f t="shared" si="8"/>
        <v/>
      </c>
      <c r="F76" s="6" t="str">
        <f t="shared" si="8"/>
        <v/>
      </c>
      <c r="G76" s="6" t="str">
        <f t="shared" si="8"/>
        <v/>
      </c>
      <c r="H76" s="6" t="str">
        <f t="shared" si="8"/>
        <v/>
      </c>
      <c r="I76" s="4" t="str">
        <f t="shared" si="3"/>
        <v/>
      </c>
    </row>
    <row r="77" spans="1:9" ht="22.8" x14ac:dyDescent="0.4">
      <c r="A77" s="21" t="str">
        <f t="shared" si="1"/>
        <v/>
      </c>
      <c r="B77" s="10" t="str">
        <f t="shared" si="4"/>
        <v/>
      </c>
      <c r="C77" s="11"/>
      <c r="D77" s="6" t="str">
        <f t="shared" si="8"/>
        <v/>
      </c>
      <c r="E77" s="6" t="str">
        <f t="shared" si="8"/>
        <v/>
      </c>
      <c r="F77" s="6" t="str">
        <f t="shared" si="8"/>
        <v/>
      </c>
      <c r="G77" s="6" t="str">
        <f t="shared" si="8"/>
        <v/>
      </c>
      <c r="H77" s="6" t="str">
        <f t="shared" si="8"/>
        <v/>
      </c>
      <c r="I77" s="4" t="str">
        <f t="shared" si="3"/>
        <v/>
      </c>
    </row>
    <row r="78" spans="1:9" ht="22.8" x14ac:dyDescent="0.4">
      <c r="A78" s="21" t="str">
        <f t="shared" si="1"/>
        <v/>
      </c>
      <c r="B78" s="10" t="str">
        <f t="shared" si="4"/>
        <v/>
      </c>
      <c r="C78" s="11"/>
      <c r="D78" s="6" t="str">
        <f t="shared" si="8"/>
        <v/>
      </c>
      <c r="E78" s="6" t="str">
        <f t="shared" si="8"/>
        <v/>
      </c>
      <c r="F78" s="6" t="str">
        <f t="shared" si="8"/>
        <v/>
      </c>
      <c r="G78" s="6" t="str">
        <f t="shared" si="8"/>
        <v/>
      </c>
      <c r="H78" s="6" t="str">
        <f t="shared" si="8"/>
        <v/>
      </c>
      <c r="I78" s="4" t="str">
        <f t="shared" si="3"/>
        <v/>
      </c>
    </row>
    <row r="79" spans="1:9" ht="22.8" x14ac:dyDescent="0.4">
      <c r="A79" s="21" t="str">
        <f t="shared" si="1"/>
        <v/>
      </c>
      <c r="B79" s="10" t="str">
        <f t="shared" si="4"/>
        <v/>
      </c>
      <c r="C79" s="11"/>
      <c r="D79" s="6" t="str">
        <f t="shared" si="8"/>
        <v/>
      </c>
      <c r="E79" s="6" t="str">
        <f t="shared" si="8"/>
        <v/>
      </c>
      <c r="F79" s="6" t="str">
        <f t="shared" si="8"/>
        <v/>
      </c>
      <c r="G79" s="6" t="str">
        <f t="shared" si="8"/>
        <v/>
      </c>
      <c r="H79" s="6" t="str">
        <f t="shared" si="8"/>
        <v/>
      </c>
      <c r="I79" s="4" t="str">
        <f t="shared" si="3"/>
        <v/>
      </c>
    </row>
    <row r="80" spans="1:9" ht="22.8" x14ac:dyDescent="0.4">
      <c r="A80" s="21" t="str">
        <f t="shared" si="1"/>
        <v/>
      </c>
      <c r="B80" s="10" t="str">
        <f t="shared" si="4"/>
        <v/>
      </c>
      <c r="C80" s="11"/>
      <c r="D80" s="6" t="str">
        <f t="shared" si="8"/>
        <v/>
      </c>
      <c r="E80" s="6" t="str">
        <f t="shared" si="8"/>
        <v/>
      </c>
      <c r="F80" s="6" t="str">
        <f t="shared" si="8"/>
        <v/>
      </c>
      <c r="G80" s="6" t="str">
        <f t="shared" si="8"/>
        <v/>
      </c>
      <c r="H80" s="6" t="str">
        <f t="shared" si="8"/>
        <v/>
      </c>
      <c r="I80" s="4" t="str">
        <f t="shared" si="3"/>
        <v/>
      </c>
    </row>
    <row r="81" spans="1:9" ht="22.8" x14ac:dyDescent="0.4">
      <c r="A81" s="21" t="str">
        <f t="shared" si="1"/>
        <v/>
      </c>
      <c r="B81" s="10" t="str">
        <f t="shared" si="4"/>
        <v/>
      </c>
      <c r="C81" s="11"/>
      <c r="D81" s="6" t="str">
        <f t="shared" si="8"/>
        <v/>
      </c>
      <c r="E81" s="6" t="str">
        <f t="shared" si="8"/>
        <v/>
      </c>
      <c r="F81" s="6" t="str">
        <f t="shared" si="8"/>
        <v/>
      </c>
      <c r="G81" s="6" t="str">
        <f t="shared" si="8"/>
        <v/>
      </c>
      <c r="H81" s="6" t="str">
        <f t="shared" si="8"/>
        <v/>
      </c>
      <c r="I81" s="4" t="str">
        <f t="shared" si="3"/>
        <v/>
      </c>
    </row>
    <row r="82" spans="1:9" ht="22.8" x14ac:dyDescent="0.4">
      <c r="A82" s="21" t="str">
        <f t="shared" si="1"/>
        <v/>
      </c>
      <c r="B82" s="10" t="str">
        <f t="shared" si="4"/>
        <v/>
      </c>
      <c r="C82" s="11"/>
      <c r="D82" s="6" t="str">
        <f t="shared" si="8"/>
        <v/>
      </c>
      <c r="E82" s="6" t="str">
        <f t="shared" si="8"/>
        <v/>
      </c>
      <c r="F82" s="6" t="str">
        <f t="shared" si="8"/>
        <v/>
      </c>
      <c r="G82" s="6" t="str">
        <f t="shared" si="8"/>
        <v/>
      </c>
      <c r="H82" s="6" t="str">
        <f t="shared" si="8"/>
        <v/>
      </c>
      <c r="I82" s="4" t="str">
        <f t="shared" si="3"/>
        <v/>
      </c>
    </row>
    <row r="83" spans="1:9" ht="22.8" x14ac:dyDescent="0.4">
      <c r="A83" s="21" t="str">
        <f t="shared" si="1"/>
        <v/>
      </c>
      <c r="B83" s="10" t="str">
        <f t="shared" si="4"/>
        <v/>
      </c>
      <c r="C83" s="11"/>
      <c r="D83" s="6" t="str">
        <f t="shared" si="8"/>
        <v/>
      </c>
      <c r="E83" s="6" t="str">
        <f t="shared" si="8"/>
        <v/>
      </c>
      <c r="F83" s="6" t="str">
        <f t="shared" si="8"/>
        <v/>
      </c>
      <c r="G83" s="6" t="str">
        <f t="shared" si="8"/>
        <v/>
      </c>
      <c r="H83" s="6" t="str">
        <f t="shared" si="8"/>
        <v/>
      </c>
      <c r="I83" s="4" t="str">
        <f t="shared" si="3"/>
        <v/>
      </c>
    </row>
    <row r="84" spans="1:9" ht="22.8" x14ac:dyDescent="0.4">
      <c r="A84" s="21" t="str">
        <f t="shared" si="1"/>
        <v/>
      </c>
      <c r="B84" s="10" t="str">
        <f t="shared" si="4"/>
        <v/>
      </c>
      <c r="C84" s="11"/>
      <c r="D84" s="6" t="str">
        <f t="shared" si="8"/>
        <v/>
      </c>
      <c r="E84" s="6" t="str">
        <f t="shared" si="8"/>
        <v/>
      </c>
      <c r="F84" s="6" t="str">
        <f t="shared" si="8"/>
        <v/>
      </c>
      <c r="G84" s="6" t="str">
        <f t="shared" si="8"/>
        <v/>
      </c>
      <c r="H84" s="6" t="str">
        <f t="shared" si="8"/>
        <v/>
      </c>
      <c r="I84" s="4" t="str">
        <f t="shared" si="3"/>
        <v/>
      </c>
    </row>
    <row r="85" spans="1:9" ht="22.8" x14ac:dyDescent="0.4">
      <c r="A85" s="21" t="str">
        <f t="shared" si="1"/>
        <v/>
      </c>
      <c r="B85" s="10" t="str">
        <f t="shared" si="4"/>
        <v/>
      </c>
      <c r="C85" s="11"/>
      <c r="D85" s="6" t="str">
        <f t="shared" si="8"/>
        <v/>
      </c>
      <c r="E85" s="6" t="str">
        <f t="shared" si="8"/>
        <v/>
      </c>
      <c r="F85" s="6" t="str">
        <f t="shared" si="8"/>
        <v/>
      </c>
      <c r="G85" s="6" t="str">
        <f t="shared" si="8"/>
        <v/>
      </c>
      <c r="H85" s="6" t="str">
        <f t="shared" si="8"/>
        <v/>
      </c>
      <c r="I85" s="4" t="str">
        <f t="shared" si="3"/>
        <v/>
      </c>
    </row>
    <row r="86" spans="1:9" ht="22.8" x14ac:dyDescent="0.4">
      <c r="A86" s="21" t="str">
        <f t="shared" si="1"/>
        <v/>
      </c>
      <c r="B86" s="10" t="str">
        <f t="shared" si="4"/>
        <v/>
      </c>
      <c r="C86" s="11"/>
      <c r="D86" s="6" t="str">
        <f t="shared" si="8"/>
        <v/>
      </c>
      <c r="E86" s="6" t="str">
        <f t="shared" si="8"/>
        <v/>
      </c>
      <c r="F86" s="6" t="str">
        <f t="shared" si="8"/>
        <v/>
      </c>
      <c r="G86" s="6" t="str">
        <f t="shared" si="8"/>
        <v/>
      </c>
      <c r="H86" s="6" t="str">
        <f t="shared" si="8"/>
        <v/>
      </c>
      <c r="I86" s="4" t="str">
        <f t="shared" si="3"/>
        <v/>
      </c>
    </row>
    <row r="87" spans="1:9" ht="22.8" x14ac:dyDescent="0.4">
      <c r="A87" s="21" t="str">
        <f t="shared" si="1"/>
        <v/>
      </c>
      <c r="B87" s="10" t="str">
        <f t="shared" si="4"/>
        <v/>
      </c>
      <c r="C87" s="11"/>
      <c r="D87" s="6" t="str">
        <f t="shared" si="8"/>
        <v/>
      </c>
      <c r="E87" s="6" t="str">
        <f t="shared" si="8"/>
        <v/>
      </c>
      <c r="F87" s="6" t="str">
        <f t="shared" si="8"/>
        <v/>
      </c>
      <c r="G87" s="6" t="str">
        <f t="shared" si="8"/>
        <v/>
      </c>
      <c r="H87" s="6" t="str">
        <f t="shared" si="8"/>
        <v/>
      </c>
      <c r="I87" s="4" t="str">
        <f t="shared" si="3"/>
        <v/>
      </c>
    </row>
    <row r="88" spans="1:9" ht="22.8" x14ac:dyDescent="0.4">
      <c r="A88" s="21" t="str">
        <f t="shared" si="1"/>
        <v/>
      </c>
      <c r="B88" s="10" t="str">
        <f t="shared" si="4"/>
        <v/>
      </c>
      <c r="C88" s="11"/>
      <c r="D88" s="6" t="str">
        <f t="shared" si="8"/>
        <v/>
      </c>
      <c r="E88" s="6" t="str">
        <f t="shared" si="8"/>
        <v/>
      </c>
      <c r="F88" s="6" t="str">
        <f t="shared" si="8"/>
        <v/>
      </c>
      <c r="G88" s="6" t="str">
        <f t="shared" si="8"/>
        <v/>
      </c>
      <c r="H88" s="6" t="str">
        <f t="shared" si="8"/>
        <v/>
      </c>
      <c r="I88" s="4" t="str">
        <f t="shared" si="3"/>
        <v/>
      </c>
    </row>
    <row r="89" spans="1:9" ht="22.8" x14ac:dyDescent="0.4">
      <c r="A89" s="21" t="str">
        <f t="shared" si="1"/>
        <v/>
      </c>
      <c r="B89" s="10" t="str">
        <f t="shared" si="4"/>
        <v/>
      </c>
      <c r="C89" s="11"/>
      <c r="D89" s="6" t="str">
        <f t="shared" si="8"/>
        <v/>
      </c>
      <c r="E89" s="6" t="str">
        <f t="shared" si="8"/>
        <v/>
      </c>
      <c r="F89" s="6" t="str">
        <f t="shared" si="8"/>
        <v/>
      </c>
      <c r="G89" s="6" t="str">
        <f t="shared" si="8"/>
        <v/>
      </c>
      <c r="H89" s="6" t="str">
        <f t="shared" si="8"/>
        <v/>
      </c>
      <c r="I89" s="4" t="str">
        <f t="shared" si="3"/>
        <v/>
      </c>
    </row>
    <row r="90" spans="1:9" ht="22.8" x14ac:dyDescent="0.4">
      <c r="A90" s="21" t="str">
        <f t="shared" si="1"/>
        <v/>
      </c>
      <c r="B90" s="10" t="str">
        <f t="shared" si="4"/>
        <v/>
      </c>
      <c r="C90" s="11"/>
      <c r="D90" s="6" t="str">
        <f t="shared" si="8"/>
        <v/>
      </c>
      <c r="E90" s="6" t="str">
        <f t="shared" si="8"/>
        <v/>
      </c>
      <c r="F90" s="6" t="str">
        <f t="shared" si="8"/>
        <v/>
      </c>
      <c r="G90" s="6" t="str">
        <f t="shared" si="8"/>
        <v/>
      </c>
      <c r="H90" s="6" t="str">
        <f t="shared" si="8"/>
        <v/>
      </c>
      <c r="I90" s="4" t="str">
        <f t="shared" si="3"/>
        <v/>
      </c>
    </row>
    <row r="91" spans="1:9" ht="22.8" x14ac:dyDescent="0.4">
      <c r="A91" s="21" t="str">
        <f t="shared" si="1"/>
        <v/>
      </c>
      <c r="B91" s="10" t="str">
        <f t="shared" si="4"/>
        <v/>
      </c>
      <c r="C91" s="11"/>
      <c r="D91" s="6" t="str">
        <f t="shared" ref="D91:H97" si="9">IF($C91="","","Description of "&amp;$C91&amp;" at a level of "&amp;D$6)</f>
        <v/>
      </c>
      <c r="E91" s="6" t="str">
        <f t="shared" si="9"/>
        <v/>
      </c>
      <c r="F91" s="6" t="str">
        <f t="shared" si="9"/>
        <v/>
      </c>
      <c r="G91" s="6" t="str">
        <f t="shared" si="9"/>
        <v/>
      </c>
      <c r="H91" s="6" t="str">
        <f t="shared" si="9"/>
        <v/>
      </c>
      <c r="I91" s="4" t="str">
        <f t="shared" si="3"/>
        <v/>
      </c>
    </row>
    <row r="92" spans="1:9" ht="22.8" x14ac:dyDescent="0.4">
      <c r="A92" s="21" t="str">
        <f t="shared" si="1"/>
        <v/>
      </c>
      <c r="B92" s="10" t="str">
        <f t="shared" si="4"/>
        <v/>
      </c>
      <c r="C92" s="11"/>
      <c r="D92" s="6" t="str">
        <f t="shared" si="9"/>
        <v/>
      </c>
      <c r="E92" s="6" t="str">
        <f t="shared" si="9"/>
        <v/>
      </c>
      <c r="F92" s="6" t="str">
        <f t="shared" si="9"/>
        <v/>
      </c>
      <c r="G92" s="6" t="str">
        <f t="shared" si="9"/>
        <v/>
      </c>
      <c r="H92" s="6" t="str">
        <f t="shared" si="9"/>
        <v/>
      </c>
      <c r="I92" s="4" t="str">
        <f t="shared" si="3"/>
        <v/>
      </c>
    </row>
    <row r="93" spans="1:9" ht="22.8" x14ac:dyDescent="0.4">
      <c r="A93" s="21"/>
      <c r="B93" s="10" t="str">
        <f t="shared" si="4"/>
        <v/>
      </c>
      <c r="C93" s="11"/>
      <c r="D93" s="6" t="str">
        <f t="shared" si="9"/>
        <v/>
      </c>
      <c r="E93" s="6" t="str">
        <f t="shared" si="9"/>
        <v/>
      </c>
      <c r="F93" s="6" t="str">
        <f t="shared" si="9"/>
        <v/>
      </c>
      <c r="G93" s="6" t="str">
        <f t="shared" si="9"/>
        <v/>
      </c>
      <c r="H93" s="6" t="str">
        <f t="shared" si="9"/>
        <v/>
      </c>
      <c r="I93" s="4" t="str">
        <f t="shared" si="3"/>
        <v/>
      </c>
    </row>
    <row r="94" spans="1:9" ht="22.8" x14ac:dyDescent="0.4">
      <c r="A94" s="21"/>
      <c r="B94" s="10" t="str">
        <f t="shared" si="4"/>
        <v/>
      </c>
      <c r="C94" s="11"/>
      <c r="D94" s="6" t="str">
        <f t="shared" si="9"/>
        <v/>
      </c>
      <c r="E94" s="6" t="str">
        <f t="shared" si="9"/>
        <v/>
      </c>
      <c r="F94" s="6" t="str">
        <f t="shared" si="9"/>
        <v/>
      </c>
      <c r="G94" s="6" t="str">
        <f t="shared" si="9"/>
        <v/>
      </c>
      <c r="H94" s="6" t="str">
        <f t="shared" si="9"/>
        <v/>
      </c>
      <c r="I94" s="4" t="str">
        <f t="shared" si="3"/>
        <v/>
      </c>
    </row>
    <row r="95" spans="1:9" ht="22.8" x14ac:dyDescent="0.4">
      <c r="A95" s="21"/>
      <c r="B95" s="10" t="str">
        <f t="shared" si="4"/>
        <v/>
      </c>
      <c r="C95" s="11"/>
      <c r="D95" s="6" t="str">
        <f t="shared" si="9"/>
        <v/>
      </c>
      <c r="E95" s="6" t="str">
        <f t="shared" si="9"/>
        <v/>
      </c>
      <c r="F95" s="6" t="str">
        <f t="shared" si="9"/>
        <v/>
      </c>
      <c r="G95" s="6" t="str">
        <f t="shared" si="9"/>
        <v/>
      </c>
      <c r="H95" s="6" t="str">
        <f t="shared" si="9"/>
        <v/>
      </c>
      <c r="I95" s="4" t="str">
        <f t="shared" si="3"/>
        <v/>
      </c>
    </row>
    <row r="96" spans="1:9" ht="22.8" x14ac:dyDescent="0.4">
      <c r="A96" s="21"/>
      <c r="B96" s="10" t="str">
        <f t="shared" si="4"/>
        <v/>
      </c>
      <c r="C96" s="11"/>
      <c r="D96" s="6" t="str">
        <f t="shared" si="9"/>
        <v/>
      </c>
      <c r="E96" s="6" t="str">
        <f t="shared" si="9"/>
        <v/>
      </c>
      <c r="F96" s="6" t="str">
        <f t="shared" si="9"/>
        <v/>
      </c>
      <c r="G96" s="6" t="str">
        <f t="shared" si="9"/>
        <v/>
      </c>
      <c r="H96" s="6" t="str">
        <f t="shared" si="9"/>
        <v/>
      </c>
      <c r="I96" s="4" t="str">
        <f t="shared" si="3"/>
        <v/>
      </c>
    </row>
    <row r="97" spans="1:9" ht="22.8" x14ac:dyDescent="0.4">
      <c r="A97" s="21"/>
      <c r="B97" s="10" t="str">
        <f t="shared" si="4"/>
        <v/>
      </c>
      <c r="C97" s="11"/>
      <c r="D97" s="6" t="str">
        <f t="shared" si="9"/>
        <v/>
      </c>
      <c r="E97" s="6" t="str">
        <f t="shared" si="9"/>
        <v/>
      </c>
      <c r="F97" s="6" t="str">
        <f t="shared" si="9"/>
        <v/>
      </c>
      <c r="G97" s="6" t="str">
        <f t="shared" si="9"/>
        <v/>
      </c>
      <c r="H97" s="6" t="str">
        <f t="shared" si="9"/>
        <v/>
      </c>
      <c r="I97" s="4" t="str">
        <f t="shared" si="3"/>
        <v/>
      </c>
    </row>
  </sheetData>
  <mergeCells count="4">
    <mergeCell ref="B1:D1"/>
    <mergeCell ref="F1:H1"/>
    <mergeCell ref="B2:C2"/>
    <mergeCell ref="F3:H4"/>
  </mergeCells>
  <conditionalFormatting sqref="B5">
    <cfRule type="cellIs" dxfId="17" priority="21" operator="greaterThan">
      <formula>1</formula>
    </cfRule>
  </conditionalFormatting>
  <conditionalFormatting sqref="A5">
    <cfRule type="containsText" dxfId="16" priority="22" operator="containsText" text="points">
      <formula>NOT(ISERROR(SEARCH(("points"),(A5))))</formula>
    </cfRule>
  </conditionalFormatting>
  <conditionalFormatting sqref="B5">
    <cfRule type="cellIs" dxfId="15" priority="23" operator="lessThan">
      <formula>1</formula>
    </cfRule>
  </conditionalFormatting>
  <conditionalFormatting sqref="B5">
    <cfRule type="cellIs" dxfId="14" priority="24" operator="equal">
      <formula>1</formula>
    </cfRule>
  </conditionalFormatting>
  <conditionalFormatting sqref="E14:E75">
    <cfRule type="expression" dxfId="13" priority="25">
      <formula>A14=3</formula>
    </cfRule>
  </conditionalFormatting>
  <conditionalFormatting sqref="D9:D12 D14:D48 G9:G13">
    <cfRule type="expression" dxfId="12" priority="26">
      <formula>A9=4</formula>
    </cfRule>
  </conditionalFormatting>
  <conditionalFormatting sqref="F13:H13 F12:F63 G9:G13">
    <cfRule type="expression" dxfId="11" priority="27">
      <formula>A9=2</formula>
    </cfRule>
  </conditionalFormatting>
  <conditionalFormatting sqref="G9:G33">
    <cfRule type="expression" dxfId="10" priority="28">
      <formula>A9=1</formula>
    </cfRule>
  </conditionalFormatting>
  <conditionalFormatting sqref="H14:H51">
    <cfRule type="expression" dxfId="9" priority="29">
      <formula>A14=0</formula>
    </cfRule>
  </conditionalFormatting>
  <conditionalFormatting sqref="E9:E13 D13">
    <cfRule type="expression" dxfId="8" priority="15">
      <formula>XFD9=3</formula>
    </cfRule>
  </conditionalFormatting>
  <conditionalFormatting sqref="E9:E13 D13">
    <cfRule type="expression" dxfId="7" priority="16">
      <formula>A9=4</formula>
    </cfRule>
  </conditionalFormatting>
  <conditionalFormatting sqref="E9:E13 D13">
    <cfRule type="expression" dxfId="6" priority="17">
      <formula>XFC9=2</formula>
    </cfRule>
  </conditionalFormatting>
  <conditionalFormatting sqref="E9:E13 D13">
    <cfRule type="expression" dxfId="5" priority="18">
      <formula>XFB9=1</formula>
    </cfRule>
  </conditionalFormatting>
  <conditionalFormatting sqref="F9:F11">
    <cfRule type="expression" dxfId="4" priority="14">
      <formula>A9=2</formula>
    </cfRule>
  </conditionalFormatting>
  <conditionalFormatting sqref="G10:H12 G9">
    <cfRule type="expression" dxfId="3" priority="13">
      <formula>B9=2</formula>
    </cfRule>
  </conditionalFormatting>
  <conditionalFormatting sqref="H13">
    <cfRule type="expression" dxfId="2" priority="9">
      <formula>C13=2</formula>
    </cfRule>
  </conditionalFormatting>
  <conditionalFormatting sqref="G13">
    <cfRule type="expression" dxfId="1" priority="8">
      <formula>B13=2</formula>
    </cfRule>
  </conditionalFormatting>
  <conditionalFormatting sqref="H9">
    <cfRule type="expression" dxfId="0" priority="1">
      <formula>C9=2</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Werkbladen</vt:lpstr>
      </vt:variant>
      <vt:variant>
        <vt:i4>2</vt:i4>
      </vt:variant>
    </vt:vector>
  </HeadingPairs>
  <TitlesOfParts>
    <vt:vector size="2" baseType="lpstr">
      <vt:lpstr>Maillijst</vt:lpstr>
      <vt:lpstr>Rubric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Haenen</dc:creator>
  <cp:lastModifiedBy>Tim de Goede</cp:lastModifiedBy>
  <dcterms:created xsi:type="dcterms:W3CDTF">2017-12-07T20:54:59Z</dcterms:created>
  <dcterms:modified xsi:type="dcterms:W3CDTF">2024-10-19T12:32:33Z</dcterms:modified>
</cp:coreProperties>
</file>